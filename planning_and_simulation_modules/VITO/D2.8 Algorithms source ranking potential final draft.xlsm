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GERHP\Documents\Planheat\"/>
    </mc:Choice>
  </mc:AlternateContent>
  <bookViews>
    <workbookView xWindow="0" yWindow="0" windowWidth="23040" windowHeight="8628"/>
  </bookViews>
  <sheets>
    <sheet name="Source ranking" sheetId="1" r:id="rId1"/>
    <sheet name="Sheet2" sheetId="2" r:id="rId2"/>
    <sheet name="Sheet3" sheetId="3" r:id="rId3"/>
  </sheets>
  <calcPr calcId="171027"/>
</workbook>
</file>

<file path=xl/calcChain.xml><?xml version="1.0" encoding="utf-8"?>
<calcChain xmlns="http://schemas.openxmlformats.org/spreadsheetml/2006/main">
  <c r="I297" i="1" l="1"/>
  <c r="I281" i="1"/>
  <c r="I265" i="1"/>
  <c r="I249" i="1"/>
  <c r="I233" i="1"/>
  <c r="I217" i="1"/>
  <c r="I201" i="1"/>
  <c r="I185" i="1"/>
  <c r="I169" i="1"/>
  <c r="I153" i="1"/>
  <c r="I137" i="1"/>
  <c r="I121" i="1"/>
  <c r="I105" i="1"/>
  <c r="I89" i="1"/>
  <c r="I73" i="1"/>
  <c r="I57" i="1"/>
  <c r="BB310" i="1" l="1"/>
  <c r="BC310" i="1" s="1"/>
  <c r="BB309" i="1"/>
  <c r="BC309" i="1" s="1"/>
  <c r="BB308" i="1"/>
  <c r="BC308" i="1" s="1"/>
  <c r="BB307" i="1"/>
  <c r="BC307" i="1" s="1"/>
  <c r="BB306" i="1"/>
  <c r="BC306" i="1" s="1"/>
  <c r="BB305" i="1"/>
  <c r="BC305" i="1" s="1"/>
  <c r="BB304" i="1"/>
  <c r="BC304" i="1" s="1"/>
  <c r="BB303" i="1"/>
  <c r="BC303" i="1" s="1"/>
  <c r="BB302" i="1"/>
  <c r="BC302" i="1" s="1"/>
  <c r="BB301" i="1"/>
  <c r="BC301" i="1" s="1"/>
  <c r="BB294" i="1"/>
  <c r="BC294" i="1" s="1"/>
  <c r="BB293" i="1"/>
  <c r="BC293" i="1" s="1"/>
  <c r="BB292" i="1"/>
  <c r="BC292" i="1" s="1"/>
  <c r="BB291" i="1"/>
  <c r="BC291" i="1" s="1"/>
  <c r="BB290" i="1"/>
  <c r="BC290" i="1" s="1"/>
  <c r="BB289" i="1"/>
  <c r="BC289" i="1" s="1"/>
  <c r="BB288" i="1"/>
  <c r="BC288" i="1" s="1"/>
  <c r="BB287" i="1"/>
  <c r="BC287" i="1" s="1"/>
  <c r="BB286" i="1"/>
  <c r="BC286" i="1" s="1"/>
  <c r="BB285" i="1"/>
  <c r="BC285" i="1" s="1"/>
  <c r="BB278" i="1"/>
  <c r="BC278" i="1" s="1"/>
  <c r="BB277" i="1"/>
  <c r="BC277" i="1" s="1"/>
  <c r="BB276" i="1"/>
  <c r="BC276" i="1" s="1"/>
  <c r="BB275" i="1"/>
  <c r="BC275" i="1" s="1"/>
  <c r="BB274" i="1"/>
  <c r="BC274" i="1" s="1"/>
  <c r="BB273" i="1"/>
  <c r="BC273" i="1" s="1"/>
  <c r="BB272" i="1"/>
  <c r="BC272" i="1" s="1"/>
  <c r="BB271" i="1"/>
  <c r="BC271" i="1" s="1"/>
  <c r="BB270" i="1"/>
  <c r="BC270" i="1" s="1"/>
  <c r="BB269" i="1"/>
  <c r="BC269" i="1" s="1"/>
  <c r="BB262" i="1"/>
  <c r="BC262" i="1" s="1"/>
  <c r="BB261" i="1"/>
  <c r="BC261" i="1" s="1"/>
  <c r="BB260" i="1"/>
  <c r="BC260" i="1" s="1"/>
  <c r="BB259" i="1"/>
  <c r="BC259" i="1" s="1"/>
  <c r="BB258" i="1"/>
  <c r="BC258" i="1" s="1"/>
  <c r="BB257" i="1"/>
  <c r="BC257" i="1" s="1"/>
  <c r="BB256" i="1"/>
  <c r="BC256" i="1" s="1"/>
  <c r="BB255" i="1"/>
  <c r="BC255" i="1" s="1"/>
  <c r="BB254" i="1"/>
  <c r="BC254" i="1" s="1"/>
  <c r="BB253" i="1"/>
  <c r="BC253" i="1" s="1"/>
  <c r="BB246" i="1"/>
  <c r="BC246" i="1" s="1"/>
  <c r="BB245" i="1"/>
  <c r="BC245" i="1" s="1"/>
  <c r="BB244" i="1"/>
  <c r="BC244" i="1" s="1"/>
  <c r="BB243" i="1"/>
  <c r="BC243" i="1" s="1"/>
  <c r="BB242" i="1"/>
  <c r="BC242" i="1" s="1"/>
  <c r="BB241" i="1"/>
  <c r="BC241" i="1" s="1"/>
  <c r="BB240" i="1"/>
  <c r="BC240" i="1" s="1"/>
  <c r="BB239" i="1"/>
  <c r="BC239" i="1" s="1"/>
  <c r="BB238" i="1"/>
  <c r="BC238" i="1" s="1"/>
  <c r="BB237" i="1"/>
  <c r="BC237" i="1" s="1"/>
  <c r="BB230" i="1"/>
  <c r="BC230" i="1" s="1"/>
  <c r="BB229" i="1"/>
  <c r="BC229" i="1" s="1"/>
  <c r="BB228" i="1"/>
  <c r="BC228" i="1" s="1"/>
  <c r="BB227" i="1"/>
  <c r="BC227" i="1" s="1"/>
  <c r="BB226" i="1"/>
  <c r="BC226" i="1" s="1"/>
  <c r="BB225" i="1"/>
  <c r="BC225" i="1" s="1"/>
  <c r="BB224" i="1"/>
  <c r="BC224" i="1" s="1"/>
  <c r="BB223" i="1"/>
  <c r="BC223" i="1" s="1"/>
  <c r="BB222" i="1"/>
  <c r="BC222" i="1" s="1"/>
  <c r="BB221" i="1"/>
  <c r="BC221" i="1" s="1"/>
  <c r="BB214" i="1"/>
  <c r="BC214" i="1" s="1"/>
  <c r="BB213" i="1"/>
  <c r="BC213" i="1" s="1"/>
  <c r="BB212" i="1"/>
  <c r="BC212" i="1" s="1"/>
  <c r="BB211" i="1"/>
  <c r="BC211" i="1" s="1"/>
  <c r="BB210" i="1"/>
  <c r="BC210" i="1" s="1"/>
  <c r="BB209" i="1"/>
  <c r="BC209" i="1" s="1"/>
  <c r="BB208" i="1"/>
  <c r="BC208" i="1" s="1"/>
  <c r="BB207" i="1"/>
  <c r="BC207" i="1" s="1"/>
  <c r="BB206" i="1"/>
  <c r="BC206" i="1" s="1"/>
  <c r="BB205" i="1"/>
  <c r="BC205" i="1" s="1"/>
  <c r="BB198" i="1"/>
  <c r="BC198" i="1" s="1"/>
  <c r="BB197" i="1"/>
  <c r="BC197" i="1" s="1"/>
  <c r="BB196" i="1"/>
  <c r="BC196" i="1" s="1"/>
  <c r="BB195" i="1"/>
  <c r="BC195" i="1" s="1"/>
  <c r="BB194" i="1"/>
  <c r="BC194" i="1" s="1"/>
  <c r="BB193" i="1"/>
  <c r="BC193" i="1" s="1"/>
  <c r="BB192" i="1"/>
  <c r="BC192" i="1" s="1"/>
  <c r="BB191" i="1"/>
  <c r="BC191" i="1" s="1"/>
  <c r="BB190" i="1"/>
  <c r="BC190" i="1" s="1"/>
  <c r="BB189" i="1"/>
  <c r="BC189" i="1" s="1"/>
  <c r="BB182" i="1"/>
  <c r="BC182" i="1" s="1"/>
  <c r="BB181" i="1"/>
  <c r="BC181" i="1" s="1"/>
  <c r="BB180" i="1"/>
  <c r="BC180" i="1" s="1"/>
  <c r="BB179" i="1"/>
  <c r="BC179" i="1" s="1"/>
  <c r="BB178" i="1"/>
  <c r="BC178" i="1" s="1"/>
  <c r="BB177" i="1"/>
  <c r="BC177" i="1" s="1"/>
  <c r="BB176" i="1"/>
  <c r="BC176" i="1" s="1"/>
  <c r="BB175" i="1"/>
  <c r="BC175" i="1" s="1"/>
  <c r="BB174" i="1"/>
  <c r="BC174" i="1" s="1"/>
  <c r="BB173" i="1"/>
  <c r="BC173" i="1" s="1"/>
  <c r="BB166" i="1"/>
  <c r="BC166" i="1" s="1"/>
  <c r="BB165" i="1"/>
  <c r="BC165" i="1" s="1"/>
  <c r="BB164" i="1"/>
  <c r="BC164" i="1" s="1"/>
  <c r="BB163" i="1"/>
  <c r="BC163" i="1" s="1"/>
  <c r="BB162" i="1"/>
  <c r="BC162" i="1" s="1"/>
  <c r="BB161" i="1"/>
  <c r="BC161" i="1" s="1"/>
  <c r="BB160" i="1"/>
  <c r="BC160" i="1" s="1"/>
  <c r="BB159" i="1"/>
  <c r="BC159" i="1" s="1"/>
  <c r="BB158" i="1"/>
  <c r="BC158" i="1" s="1"/>
  <c r="BB157" i="1"/>
  <c r="BC157" i="1" s="1"/>
  <c r="BB150" i="1"/>
  <c r="BC150" i="1" s="1"/>
  <c r="BB149" i="1"/>
  <c r="BC149" i="1" s="1"/>
  <c r="BB148" i="1"/>
  <c r="BC148" i="1" s="1"/>
  <c r="BB147" i="1"/>
  <c r="BC147" i="1" s="1"/>
  <c r="BB146" i="1"/>
  <c r="BC146" i="1" s="1"/>
  <c r="BB145" i="1"/>
  <c r="BC145" i="1" s="1"/>
  <c r="BB144" i="1"/>
  <c r="BC144" i="1" s="1"/>
  <c r="BB143" i="1"/>
  <c r="BC143" i="1" s="1"/>
  <c r="BB142" i="1"/>
  <c r="BC142" i="1" s="1"/>
  <c r="BB141" i="1"/>
  <c r="BC141" i="1" s="1"/>
  <c r="BB134" i="1"/>
  <c r="BC134" i="1" s="1"/>
  <c r="BB133" i="1"/>
  <c r="BC133" i="1" s="1"/>
  <c r="BB132" i="1"/>
  <c r="BC132" i="1" s="1"/>
  <c r="BB131" i="1"/>
  <c r="BC131" i="1" s="1"/>
  <c r="BB130" i="1"/>
  <c r="BC130" i="1" s="1"/>
  <c r="BB129" i="1"/>
  <c r="BC129" i="1" s="1"/>
  <c r="BB128" i="1"/>
  <c r="BC128" i="1" s="1"/>
  <c r="BB127" i="1"/>
  <c r="BC127" i="1" s="1"/>
  <c r="BB126" i="1"/>
  <c r="BC126" i="1" s="1"/>
  <c r="BB125" i="1"/>
  <c r="BC125" i="1" s="1"/>
  <c r="BB118" i="1"/>
  <c r="BC118" i="1" s="1"/>
  <c r="BB117" i="1"/>
  <c r="BC117" i="1" s="1"/>
  <c r="BB116" i="1"/>
  <c r="BC116" i="1" s="1"/>
  <c r="BB115" i="1"/>
  <c r="BC115" i="1" s="1"/>
  <c r="BB114" i="1"/>
  <c r="BC114" i="1" s="1"/>
  <c r="BB113" i="1"/>
  <c r="BC113" i="1" s="1"/>
  <c r="BB112" i="1"/>
  <c r="BC112" i="1" s="1"/>
  <c r="BB111" i="1"/>
  <c r="BC111" i="1" s="1"/>
  <c r="BB110" i="1"/>
  <c r="BC110" i="1" s="1"/>
  <c r="BB109" i="1"/>
  <c r="BC109" i="1" s="1"/>
  <c r="BB102" i="1"/>
  <c r="BC102" i="1" s="1"/>
  <c r="BB101" i="1"/>
  <c r="BC101" i="1" s="1"/>
  <c r="BB100" i="1"/>
  <c r="BC100" i="1" s="1"/>
  <c r="BB99" i="1"/>
  <c r="BC99" i="1" s="1"/>
  <c r="BB98" i="1"/>
  <c r="BC98" i="1" s="1"/>
  <c r="BB97" i="1"/>
  <c r="BC97" i="1" s="1"/>
  <c r="BB96" i="1"/>
  <c r="BC96" i="1" s="1"/>
  <c r="BB95" i="1"/>
  <c r="BC95" i="1" s="1"/>
  <c r="BB94" i="1"/>
  <c r="BC94" i="1" s="1"/>
  <c r="BB93" i="1"/>
  <c r="BC93" i="1" s="1"/>
  <c r="BB86" i="1"/>
  <c r="BC86" i="1" s="1"/>
  <c r="BB85" i="1"/>
  <c r="BC85" i="1" s="1"/>
  <c r="BB84" i="1"/>
  <c r="BC84" i="1" s="1"/>
  <c r="BB83" i="1"/>
  <c r="BC83" i="1" s="1"/>
  <c r="BB82" i="1"/>
  <c r="BC82" i="1" s="1"/>
  <c r="BB81" i="1"/>
  <c r="BC81" i="1" s="1"/>
  <c r="BB80" i="1"/>
  <c r="BC80" i="1" s="1"/>
  <c r="BB79" i="1"/>
  <c r="BC79" i="1" s="1"/>
  <c r="BB78" i="1"/>
  <c r="BC78" i="1" s="1"/>
  <c r="BB77" i="1"/>
  <c r="BC77" i="1" s="1"/>
  <c r="BB70" i="1"/>
  <c r="BC70" i="1" s="1"/>
  <c r="BB69" i="1"/>
  <c r="BC69" i="1" s="1"/>
  <c r="BB68" i="1"/>
  <c r="BC68" i="1" s="1"/>
  <c r="BB67" i="1"/>
  <c r="BC67" i="1" s="1"/>
  <c r="BB66" i="1"/>
  <c r="BC66" i="1" s="1"/>
  <c r="BB65" i="1"/>
  <c r="BC65" i="1" s="1"/>
  <c r="BB64" i="1"/>
  <c r="BC64" i="1" s="1"/>
  <c r="BB63" i="1"/>
  <c r="BC63" i="1" s="1"/>
  <c r="BB62" i="1"/>
  <c r="BC62" i="1" s="1"/>
  <c r="BB61" i="1"/>
  <c r="BC61" i="1" s="1"/>
  <c r="AR148" i="1"/>
  <c r="AR147" i="1"/>
  <c r="AR125" i="1"/>
  <c r="V148" i="1"/>
  <c r="AQ310" i="1"/>
  <c r="AR310" i="1" s="1"/>
  <c r="AQ309" i="1"/>
  <c r="AR309" i="1" s="1"/>
  <c r="AQ308" i="1"/>
  <c r="AR308" i="1" s="1"/>
  <c r="AQ307" i="1"/>
  <c r="AR307" i="1" s="1"/>
  <c r="AQ306" i="1"/>
  <c r="AR306" i="1" s="1"/>
  <c r="AQ305" i="1"/>
  <c r="AR305" i="1" s="1"/>
  <c r="AQ304" i="1"/>
  <c r="AR304" i="1" s="1"/>
  <c r="AQ303" i="1"/>
  <c r="AR303" i="1" s="1"/>
  <c r="AQ302" i="1"/>
  <c r="AR302" i="1" s="1"/>
  <c r="AQ301" i="1"/>
  <c r="AR301" i="1" s="1"/>
  <c r="AQ294" i="1"/>
  <c r="AR294" i="1" s="1"/>
  <c r="AQ293" i="1"/>
  <c r="AR293" i="1" s="1"/>
  <c r="AQ292" i="1"/>
  <c r="AR292" i="1" s="1"/>
  <c r="AQ291" i="1"/>
  <c r="AR291" i="1" s="1"/>
  <c r="AQ290" i="1"/>
  <c r="AR290" i="1" s="1"/>
  <c r="AQ289" i="1"/>
  <c r="AR289" i="1" s="1"/>
  <c r="AQ288" i="1"/>
  <c r="AR288" i="1" s="1"/>
  <c r="AQ287" i="1"/>
  <c r="AR287" i="1" s="1"/>
  <c r="AQ286" i="1"/>
  <c r="AR286" i="1" s="1"/>
  <c r="AQ285" i="1"/>
  <c r="AR285" i="1" s="1"/>
  <c r="AQ278" i="1"/>
  <c r="AR278" i="1" s="1"/>
  <c r="AQ277" i="1"/>
  <c r="AR277" i="1" s="1"/>
  <c r="AQ276" i="1"/>
  <c r="AR276" i="1" s="1"/>
  <c r="AQ275" i="1"/>
  <c r="AR275" i="1" s="1"/>
  <c r="AQ274" i="1"/>
  <c r="AR274" i="1" s="1"/>
  <c r="AQ273" i="1"/>
  <c r="AR273" i="1" s="1"/>
  <c r="AQ272" i="1"/>
  <c r="AR272" i="1" s="1"/>
  <c r="AQ271" i="1"/>
  <c r="AR271" i="1" s="1"/>
  <c r="AQ270" i="1"/>
  <c r="AR270" i="1" s="1"/>
  <c r="AQ269" i="1"/>
  <c r="AR269" i="1" s="1"/>
  <c r="AQ262" i="1"/>
  <c r="AR262" i="1" s="1"/>
  <c r="AQ261" i="1"/>
  <c r="AR261" i="1" s="1"/>
  <c r="AQ260" i="1"/>
  <c r="AR260" i="1" s="1"/>
  <c r="AQ259" i="1"/>
  <c r="AR259" i="1" s="1"/>
  <c r="AQ258" i="1"/>
  <c r="AR258" i="1" s="1"/>
  <c r="AQ257" i="1"/>
  <c r="AR257" i="1" s="1"/>
  <c r="AQ256" i="1"/>
  <c r="AR256" i="1" s="1"/>
  <c r="AQ255" i="1"/>
  <c r="AR255" i="1" s="1"/>
  <c r="AQ254" i="1"/>
  <c r="AR254" i="1" s="1"/>
  <c r="AQ253" i="1"/>
  <c r="AR253" i="1" s="1"/>
  <c r="AQ246" i="1"/>
  <c r="AR246" i="1" s="1"/>
  <c r="AQ245" i="1"/>
  <c r="AR245" i="1" s="1"/>
  <c r="AQ244" i="1"/>
  <c r="AR244" i="1" s="1"/>
  <c r="AQ243" i="1"/>
  <c r="AR243" i="1" s="1"/>
  <c r="AQ242" i="1"/>
  <c r="AR242" i="1" s="1"/>
  <c r="AQ241" i="1"/>
  <c r="AR241" i="1" s="1"/>
  <c r="AQ240" i="1"/>
  <c r="AR240" i="1" s="1"/>
  <c r="AQ239" i="1"/>
  <c r="AR239" i="1" s="1"/>
  <c r="AQ238" i="1"/>
  <c r="AR238" i="1" s="1"/>
  <c r="AQ237" i="1"/>
  <c r="AR237" i="1" s="1"/>
  <c r="AQ230" i="1"/>
  <c r="AR230" i="1" s="1"/>
  <c r="AQ229" i="1"/>
  <c r="AR229" i="1" s="1"/>
  <c r="AQ228" i="1"/>
  <c r="AR228" i="1" s="1"/>
  <c r="AQ227" i="1"/>
  <c r="AR227" i="1" s="1"/>
  <c r="AQ226" i="1"/>
  <c r="AR226" i="1" s="1"/>
  <c r="AQ225" i="1"/>
  <c r="AR225" i="1" s="1"/>
  <c r="AQ224" i="1"/>
  <c r="AR224" i="1" s="1"/>
  <c r="AQ223" i="1"/>
  <c r="AR223" i="1" s="1"/>
  <c r="AQ222" i="1"/>
  <c r="AR222" i="1" s="1"/>
  <c r="AQ221" i="1"/>
  <c r="AR221" i="1" s="1"/>
  <c r="AQ214" i="1"/>
  <c r="AR214" i="1" s="1"/>
  <c r="AQ213" i="1"/>
  <c r="AR213" i="1" s="1"/>
  <c r="AQ212" i="1"/>
  <c r="AR212" i="1" s="1"/>
  <c r="AQ211" i="1"/>
  <c r="AR211" i="1" s="1"/>
  <c r="AQ210" i="1"/>
  <c r="AR210" i="1" s="1"/>
  <c r="AQ209" i="1"/>
  <c r="AR209" i="1" s="1"/>
  <c r="AQ208" i="1"/>
  <c r="AR208" i="1" s="1"/>
  <c r="AQ207" i="1"/>
  <c r="AR207" i="1" s="1"/>
  <c r="AQ206" i="1"/>
  <c r="AR206" i="1" s="1"/>
  <c r="AQ205" i="1"/>
  <c r="AR205" i="1" s="1"/>
  <c r="AQ198" i="1"/>
  <c r="AR198" i="1" s="1"/>
  <c r="AQ197" i="1"/>
  <c r="AR197" i="1" s="1"/>
  <c r="AQ196" i="1"/>
  <c r="AR196" i="1" s="1"/>
  <c r="AQ195" i="1"/>
  <c r="AR195" i="1" s="1"/>
  <c r="AQ194" i="1"/>
  <c r="AR194" i="1" s="1"/>
  <c r="AQ193" i="1"/>
  <c r="AR193" i="1" s="1"/>
  <c r="AQ192" i="1"/>
  <c r="AR192" i="1" s="1"/>
  <c r="AQ191" i="1"/>
  <c r="AR191" i="1" s="1"/>
  <c r="AQ190" i="1"/>
  <c r="AR190" i="1" s="1"/>
  <c r="AQ189" i="1"/>
  <c r="AR189" i="1" s="1"/>
  <c r="AQ182" i="1"/>
  <c r="AR182" i="1" s="1"/>
  <c r="AQ181" i="1"/>
  <c r="AR181" i="1" s="1"/>
  <c r="AQ180" i="1"/>
  <c r="AR180" i="1" s="1"/>
  <c r="AQ179" i="1"/>
  <c r="AR179" i="1" s="1"/>
  <c r="AQ178" i="1"/>
  <c r="AR178" i="1" s="1"/>
  <c r="AQ177" i="1"/>
  <c r="AR177" i="1" s="1"/>
  <c r="AQ176" i="1"/>
  <c r="AR176" i="1" s="1"/>
  <c r="AQ175" i="1"/>
  <c r="AR175" i="1" s="1"/>
  <c r="AQ174" i="1"/>
  <c r="AR174" i="1" s="1"/>
  <c r="AQ173" i="1"/>
  <c r="AR173" i="1" s="1"/>
  <c r="AQ166" i="1"/>
  <c r="AR166" i="1" s="1"/>
  <c r="AQ165" i="1"/>
  <c r="AR165" i="1" s="1"/>
  <c r="AQ164" i="1"/>
  <c r="AR164" i="1" s="1"/>
  <c r="AQ163" i="1"/>
  <c r="AR163" i="1" s="1"/>
  <c r="AQ162" i="1"/>
  <c r="AR162" i="1" s="1"/>
  <c r="AQ161" i="1"/>
  <c r="AR161" i="1" s="1"/>
  <c r="AQ160" i="1"/>
  <c r="AR160" i="1" s="1"/>
  <c r="AQ159" i="1"/>
  <c r="AR159" i="1" s="1"/>
  <c r="AQ158" i="1"/>
  <c r="AR158" i="1" s="1"/>
  <c r="AQ157" i="1"/>
  <c r="AR157" i="1" s="1"/>
  <c r="AQ150" i="1"/>
  <c r="AR150" i="1" s="1"/>
  <c r="AQ149" i="1"/>
  <c r="AR149" i="1" s="1"/>
  <c r="AQ148" i="1"/>
  <c r="AQ147" i="1"/>
  <c r="AQ146" i="1"/>
  <c r="AR146" i="1" s="1"/>
  <c r="AQ145" i="1"/>
  <c r="AR145" i="1" s="1"/>
  <c r="AQ144" i="1"/>
  <c r="AR144" i="1" s="1"/>
  <c r="AQ143" i="1"/>
  <c r="AR143" i="1" s="1"/>
  <c r="AQ142" i="1"/>
  <c r="AR142" i="1" s="1"/>
  <c r="AQ141" i="1"/>
  <c r="AR141" i="1" s="1"/>
  <c r="AQ134" i="1"/>
  <c r="AR134" i="1" s="1"/>
  <c r="AQ133" i="1"/>
  <c r="AR133" i="1" s="1"/>
  <c r="AQ132" i="1"/>
  <c r="AR132" i="1" s="1"/>
  <c r="AQ131" i="1"/>
  <c r="AR131" i="1" s="1"/>
  <c r="AQ130" i="1"/>
  <c r="AR130" i="1" s="1"/>
  <c r="AQ129" i="1"/>
  <c r="AR129" i="1" s="1"/>
  <c r="AQ128" i="1"/>
  <c r="AR128" i="1" s="1"/>
  <c r="AQ127" i="1"/>
  <c r="AR127" i="1" s="1"/>
  <c r="AQ126" i="1"/>
  <c r="AR126" i="1" s="1"/>
  <c r="AQ125" i="1"/>
  <c r="AQ118" i="1"/>
  <c r="AR118" i="1" s="1"/>
  <c r="AQ117" i="1"/>
  <c r="AR117" i="1" s="1"/>
  <c r="AQ116" i="1"/>
  <c r="AR116" i="1" s="1"/>
  <c r="AQ115" i="1"/>
  <c r="AR115" i="1" s="1"/>
  <c r="AQ114" i="1"/>
  <c r="AR114" i="1" s="1"/>
  <c r="AQ113" i="1"/>
  <c r="AR113" i="1" s="1"/>
  <c r="AQ112" i="1"/>
  <c r="AR112" i="1" s="1"/>
  <c r="AQ111" i="1"/>
  <c r="AR111" i="1" s="1"/>
  <c r="AQ110" i="1"/>
  <c r="AR110" i="1" s="1"/>
  <c r="AQ109" i="1"/>
  <c r="AR109" i="1" s="1"/>
  <c r="AQ102" i="1"/>
  <c r="AR102" i="1" s="1"/>
  <c r="AQ101" i="1"/>
  <c r="AR101" i="1" s="1"/>
  <c r="AQ100" i="1"/>
  <c r="AR100" i="1" s="1"/>
  <c r="AQ99" i="1"/>
  <c r="AR99" i="1" s="1"/>
  <c r="AQ98" i="1"/>
  <c r="AR98" i="1" s="1"/>
  <c r="AQ97" i="1"/>
  <c r="AR97" i="1" s="1"/>
  <c r="AQ96" i="1"/>
  <c r="AR96" i="1" s="1"/>
  <c r="AQ95" i="1"/>
  <c r="AR95" i="1" s="1"/>
  <c r="AQ94" i="1"/>
  <c r="AR94" i="1" s="1"/>
  <c r="AQ93" i="1"/>
  <c r="AR93" i="1" s="1"/>
  <c r="AQ86" i="1"/>
  <c r="AR86" i="1" s="1"/>
  <c r="AQ85" i="1"/>
  <c r="AR85" i="1" s="1"/>
  <c r="AQ84" i="1"/>
  <c r="AR84" i="1" s="1"/>
  <c r="AQ83" i="1"/>
  <c r="AR83" i="1" s="1"/>
  <c r="AQ82" i="1"/>
  <c r="AR82" i="1" s="1"/>
  <c r="AQ81" i="1"/>
  <c r="AR81" i="1" s="1"/>
  <c r="AQ80" i="1"/>
  <c r="AR80" i="1" s="1"/>
  <c r="AQ79" i="1"/>
  <c r="AR79" i="1" s="1"/>
  <c r="AQ78" i="1"/>
  <c r="AR78" i="1" s="1"/>
  <c r="AQ77" i="1"/>
  <c r="AR77" i="1" s="1"/>
  <c r="AF86" i="1"/>
  <c r="AG86" i="1" s="1"/>
  <c r="AF85" i="1"/>
  <c r="AG85" i="1" s="1"/>
  <c r="AF84" i="1"/>
  <c r="AG84" i="1" s="1"/>
  <c r="AF83" i="1"/>
  <c r="AG83" i="1" s="1"/>
  <c r="AF82" i="1"/>
  <c r="AG82" i="1" s="1"/>
  <c r="AF81" i="1"/>
  <c r="AG81" i="1" s="1"/>
  <c r="AF80" i="1"/>
  <c r="AG80" i="1" s="1"/>
  <c r="AF79" i="1"/>
  <c r="AG79" i="1" s="1"/>
  <c r="AF78" i="1"/>
  <c r="AG78" i="1" s="1"/>
  <c r="AF77" i="1"/>
  <c r="AG77" i="1" s="1"/>
  <c r="AF102" i="1"/>
  <c r="AG102" i="1" s="1"/>
  <c r="AF101" i="1"/>
  <c r="AG101" i="1" s="1"/>
  <c r="AF100" i="1"/>
  <c r="AG100" i="1" s="1"/>
  <c r="AF99" i="1"/>
  <c r="AG99" i="1" s="1"/>
  <c r="AF98" i="1"/>
  <c r="AG98" i="1" s="1"/>
  <c r="AF97" i="1"/>
  <c r="AG97" i="1" s="1"/>
  <c r="AF96" i="1"/>
  <c r="AG96" i="1" s="1"/>
  <c r="AF95" i="1"/>
  <c r="AG95" i="1" s="1"/>
  <c r="AF94" i="1"/>
  <c r="AG94" i="1" s="1"/>
  <c r="AF93" i="1"/>
  <c r="AG93" i="1" s="1"/>
  <c r="AF118" i="1"/>
  <c r="AG118" i="1" s="1"/>
  <c r="AF117" i="1"/>
  <c r="AG117" i="1" s="1"/>
  <c r="AF116" i="1"/>
  <c r="AG116" i="1" s="1"/>
  <c r="AF115" i="1"/>
  <c r="AG115" i="1" s="1"/>
  <c r="AF114" i="1"/>
  <c r="AG114" i="1" s="1"/>
  <c r="AF113" i="1"/>
  <c r="AG113" i="1" s="1"/>
  <c r="AF112" i="1"/>
  <c r="AG112" i="1" s="1"/>
  <c r="AF111" i="1"/>
  <c r="AG111" i="1" s="1"/>
  <c r="AF110" i="1"/>
  <c r="AG110" i="1" s="1"/>
  <c r="AF109" i="1"/>
  <c r="AG109" i="1" s="1"/>
  <c r="AF134" i="1"/>
  <c r="AG134" i="1" s="1"/>
  <c r="AF133" i="1"/>
  <c r="AG133" i="1" s="1"/>
  <c r="AF132" i="1"/>
  <c r="AG132" i="1" s="1"/>
  <c r="AF131" i="1"/>
  <c r="AG131" i="1" s="1"/>
  <c r="AF130" i="1"/>
  <c r="AG130" i="1" s="1"/>
  <c r="AF129" i="1"/>
  <c r="AG129" i="1" s="1"/>
  <c r="AF128" i="1"/>
  <c r="AG128" i="1" s="1"/>
  <c r="AF127" i="1"/>
  <c r="AG127" i="1" s="1"/>
  <c r="AF126" i="1"/>
  <c r="AG126" i="1" s="1"/>
  <c r="AF125" i="1"/>
  <c r="AG125" i="1" s="1"/>
  <c r="AF150" i="1"/>
  <c r="AG150" i="1" s="1"/>
  <c r="AF149" i="1"/>
  <c r="AG149" i="1" s="1"/>
  <c r="AF148" i="1"/>
  <c r="AG148" i="1" s="1"/>
  <c r="AF147" i="1"/>
  <c r="AG147" i="1" s="1"/>
  <c r="AF146" i="1"/>
  <c r="AG146" i="1" s="1"/>
  <c r="AF145" i="1"/>
  <c r="AG145" i="1" s="1"/>
  <c r="AF144" i="1"/>
  <c r="AG144" i="1" s="1"/>
  <c r="AF143" i="1"/>
  <c r="AG143" i="1" s="1"/>
  <c r="AF142" i="1"/>
  <c r="AG142" i="1" s="1"/>
  <c r="AF141" i="1"/>
  <c r="AG141" i="1" s="1"/>
  <c r="AF166" i="1"/>
  <c r="AG166" i="1" s="1"/>
  <c r="AF165" i="1"/>
  <c r="AG165" i="1" s="1"/>
  <c r="AF164" i="1"/>
  <c r="AG164" i="1" s="1"/>
  <c r="AF163" i="1"/>
  <c r="AG163" i="1" s="1"/>
  <c r="AF162" i="1"/>
  <c r="AG162" i="1" s="1"/>
  <c r="AF161" i="1"/>
  <c r="AG161" i="1" s="1"/>
  <c r="AF160" i="1"/>
  <c r="AG160" i="1" s="1"/>
  <c r="AF159" i="1"/>
  <c r="AG159" i="1" s="1"/>
  <c r="AF158" i="1"/>
  <c r="AG158" i="1" s="1"/>
  <c r="AF157" i="1"/>
  <c r="AG157" i="1" s="1"/>
  <c r="AF182" i="1"/>
  <c r="AG182" i="1" s="1"/>
  <c r="AF181" i="1"/>
  <c r="AG181" i="1" s="1"/>
  <c r="AF180" i="1"/>
  <c r="AG180" i="1" s="1"/>
  <c r="AF179" i="1"/>
  <c r="AG179" i="1" s="1"/>
  <c r="AF178" i="1"/>
  <c r="AG178" i="1" s="1"/>
  <c r="AF177" i="1"/>
  <c r="AG177" i="1" s="1"/>
  <c r="AF176" i="1"/>
  <c r="AG176" i="1" s="1"/>
  <c r="AF175" i="1"/>
  <c r="AG175" i="1" s="1"/>
  <c r="AF174" i="1"/>
  <c r="AG174" i="1" s="1"/>
  <c r="AF173" i="1"/>
  <c r="AG173" i="1" s="1"/>
  <c r="AF198" i="1"/>
  <c r="AG198" i="1" s="1"/>
  <c r="AF197" i="1"/>
  <c r="AG197" i="1" s="1"/>
  <c r="AF196" i="1"/>
  <c r="AG196" i="1" s="1"/>
  <c r="AF195" i="1"/>
  <c r="AG195" i="1" s="1"/>
  <c r="AF194" i="1"/>
  <c r="AG194" i="1" s="1"/>
  <c r="AF193" i="1"/>
  <c r="AG193" i="1" s="1"/>
  <c r="AF192" i="1"/>
  <c r="AG192" i="1" s="1"/>
  <c r="AF191" i="1"/>
  <c r="AG191" i="1" s="1"/>
  <c r="AF190" i="1"/>
  <c r="AG190" i="1" s="1"/>
  <c r="AF189" i="1"/>
  <c r="AG189" i="1" s="1"/>
  <c r="AF214" i="1"/>
  <c r="AG214" i="1" s="1"/>
  <c r="AF213" i="1"/>
  <c r="AG213" i="1" s="1"/>
  <c r="AF212" i="1"/>
  <c r="AG212" i="1" s="1"/>
  <c r="AF211" i="1"/>
  <c r="AG211" i="1" s="1"/>
  <c r="AF210" i="1"/>
  <c r="AG210" i="1" s="1"/>
  <c r="AF209" i="1"/>
  <c r="AG209" i="1" s="1"/>
  <c r="AF208" i="1"/>
  <c r="AG208" i="1" s="1"/>
  <c r="AF207" i="1"/>
  <c r="AG207" i="1" s="1"/>
  <c r="AF206" i="1"/>
  <c r="AG206" i="1" s="1"/>
  <c r="AF205" i="1"/>
  <c r="AG205" i="1" s="1"/>
  <c r="AF230" i="1"/>
  <c r="AG230" i="1" s="1"/>
  <c r="AF229" i="1"/>
  <c r="AG229" i="1" s="1"/>
  <c r="AF228" i="1"/>
  <c r="AG228" i="1" s="1"/>
  <c r="AF227" i="1"/>
  <c r="AG227" i="1" s="1"/>
  <c r="AF226" i="1"/>
  <c r="AG226" i="1" s="1"/>
  <c r="AF225" i="1"/>
  <c r="AG225" i="1" s="1"/>
  <c r="AF224" i="1"/>
  <c r="AG224" i="1" s="1"/>
  <c r="AF223" i="1"/>
  <c r="AG223" i="1" s="1"/>
  <c r="AF222" i="1"/>
  <c r="AG222" i="1" s="1"/>
  <c r="AF221" i="1"/>
  <c r="AG221" i="1" s="1"/>
  <c r="AF246" i="1"/>
  <c r="AG246" i="1" s="1"/>
  <c r="AF245" i="1"/>
  <c r="AG245" i="1" s="1"/>
  <c r="AF244" i="1"/>
  <c r="AG244" i="1" s="1"/>
  <c r="AF243" i="1"/>
  <c r="AG243" i="1" s="1"/>
  <c r="AF242" i="1"/>
  <c r="AG242" i="1" s="1"/>
  <c r="AF241" i="1"/>
  <c r="AG241" i="1" s="1"/>
  <c r="AF240" i="1"/>
  <c r="AG240" i="1" s="1"/>
  <c r="AF239" i="1"/>
  <c r="AG239" i="1" s="1"/>
  <c r="AF238" i="1"/>
  <c r="AG238" i="1" s="1"/>
  <c r="AF237" i="1"/>
  <c r="AG237" i="1" s="1"/>
  <c r="AF262" i="1"/>
  <c r="AG262" i="1" s="1"/>
  <c r="AF261" i="1"/>
  <c r="AG261" i="1" s="1"/>
  <c r="AF260" i="1"/>
  <c r="AG260" i="1" s="1"/>
  <c r="AF259" i="1"/>
  <c r="AG259" i="1" s="1"/>
  <c r="AF258" i="1"/>
  <c r="AG258" i="1" s="1"/>
  <c r="AF257" i="1"/>
  <c r="AG257" i="1" s="1"/>
  <c r="AF256" i="1"/>
  <c r="AG256" i="1" s="1"/>
  <c r="AF255" i="1"/>
  <c r="AG255" i="1" s="1"/>
  <c r="AF254" i="1"/>
  <c r="AG254" i="1" s="1"/>
  <c r="AF253" i="1"/>
  <c r="AG253" i="1" s="1"/>
  <c r="AF278" i="1"/>
  <c r="AG278" i="1" s="1"/>
  <c r="AF277" i="1"/>
  <c r="AG277" i="1" s="1"/>
  <c r="AF276" i="1"/>
  <c r="AG276" i="1" s="1"/>
  <c r="AF275" i="1"/>
  <c r="AG275" i="1" s="1"/>
  <c r="AF274" i="1"/>
  <c r="AG274" i="1" s="1"/>
  <c r="AF273" i="1"/>
  <c r="AG273" i="1" s="1"/>
  <c r="AF272" i="1"/>
  <c r="AG272" i="1" s="1"/>
  <c r="AF271" i="1"/>
  <c r="AG271" i="1" s="1"/>
  <c r="AF270" i="1"/>
  <c r="AG270" i="1" s="1"/>
  <c r="AF269" i="1"/>
  <c r="AG269" i="1" s="1"/>
  <c r="AF294" i="1"/>
  <c r="AG294" i="1" s="1"/>
  <c r="AF293" i="1"/>
  <c r="AG293" i="1" s="1"/>
  <c r="AF292" i="1"/>
  <c r="AG292" i="1" s="1"/>
  <c r="AF291" i="1"/>
  <c r="AG291" i="1" s="1"/>
  <c r="AF290" i="1"/>
  <c r="AG290" i="1" s="1"/>
  <c r="AF289" i="1"/>
  <c r="AG289" i="1" s="1"/>
  <c r="AF288" i="1"/>
  <c r="AG288" i="1" s="1"/>
  <c r="AF287" i="1"/>
  <c r="AG287" i="1" s="1"/>
  <c r="AF286" i="1"/>
  <c r="AG286" i="1" s="1"/>
  <c r="AF285" i="1"/>
  <c r="AG285" i="1" s="1"/>
  <c r="AF310" i="1"/>
  <c r="AG310" i="1" s="1"/>
  <c r="AF309" i="1"/>
  <c r="AG309" i="1" s="1"/>
  <c r="AF308" i="1"/>
  <c r="AG308" i="1" s="1"/>
  <c r="AF307" i="1"/>
  <c r="AG307" i="1" s="1"/>
  <c r="AF306" i="1"/>
  <c r="AG306" i="1" s="1"/>
  <c r="AF305" i="1"/>
  <c r="AG305" i="1" s="1"/>
  <c r="AF304" i="1"/>
  <c r="AG304" i="1" s="1"/>
  <c r="AF303" i="1"/>
  <c r="AG303" i="1" s="1"/>
  <c r="AF302" i="1"/>
  <c r="AG302" i="1" s="1"/>
  <c r="AF301" i="1"/>
  <c r="AG301" i="1" s="1"/>
  <c r="U310" i="1"/>
  <c r="V310" i="1" s="1"/>
  <c r="U309" i="1"/>
  <c r="V309" i="1" s="1"/>
  <c r="U308" i="1"/>
  <c r="V308" i="1" s="1"/>
  <c r="U307" i="1"/>
  <c r="V307" i="1" s="1"/>
  <c r="U306" i="1"/>
  <c r="V306" i="1" s="1"/>
  <c r="U305" i="1"/>
  <c r="V305" i="1" s="1"/>
  <c r="U304" i="1"/>
  <c r="V304" i="1" s="1"/>
  <c r="U303" i="1"/>
  <c r="V303" i="1" s="1"/>
  <c r="U302" i="1"/>
  <c r="V302" i="1" s="1"/>
  <c r="U301" i="1"/>
  <c r="V301" i="1" s="1"/>
  <c r="U294" i="1"/>
  <c r="V294" i="1" s="1"/>
  <c r="U293" i="1"/>
  <c r="V293" i="1" s="1"/>
  <c r="U292" i="1"/>
  <c r="V292" i="1" s="1"/>
  <c r="U291" i="1"/>
  <c r="V291" i="1" s="1"/>
  <c r="U290" i="1"/>
  <c r="V290" i="1" s="1"/>
  <c r="U289" i="1"/>
  <c r="V289" i="1" s="1"/>
  <c r="U288" i="1"/>
  <c r="V288" i="1" s="1"/>
  <c r="U287" i="1"/>
  <c r="V287" i="1" s="1"/>
  <c r="U286" i="1"/>
  <c r="V286" i="1" s="1"/>
  <c r="U285" i="1"/>
  <c r="V285" i="1" s="1"/>
  <c r="U278" i="1"/>
  <c r="V278" i="1" s="1"/>
  <c r="U277" i="1"/>
  <c r="V277" i="1" s="1"/>
  <c r="U276" i="1"/>
  <c r="V276" i="1" s="1"/>
  <c r="U275" i="1"/>
  <c r="V275" i="1" s="1"/>
  <c r="U274" i="1"/>
  <c r="V274" i="1" s="1"/>
  <c r="U273" i="1"/>
  <c r="V273" i="1" s="1"/>
  <c r="U272" i="1"/>
  <c r="V272" i="1" s="1"/>
  <c r="U271" i="1"/>
  <c r="V271" i="1" s="1"/>
  <c r="U270" i="1"/>
  <c r="V270" i="1" s="1"/>
  <c r="U269" i="1"/>
  <c r="V269" i="1" s="1"/>
  <c r="U262" i="1"/>
  <c r="V262" i="1" s="1"/>
  <c r="U261" i="1"/>
  <c r="V261" i="1" s="1"/>
  <c r="U260" i="1"/>
  <c r="V260" i="1" s="1"/>
  <c r="U259" i="1"/>
  <c r="V259" i="1" s="1"/>
  <c r="U258" i="1"/>
  <c r="V258" i="1" s="1"/>
  <c r="U257" i="1"/>
  <c r="V257" i="1" s="1"/>
  <c r="U256" i="1"/>
  <c r="V256" i="1" s="1"/>
  <c r="U255" i="1"/>
  <c r="V255" i="1" s="1"/>
  <c r="U254" i="1"/>
  <c r="V254" i="1" s="1"/>
  <c r="U253" i="1"/>
  <c r="V253" i="1" s="1"/>
  <c r="U246" i="1"/>
  <c r="V246" i="1" s="1"/>
  <c r="U245" i="1"/>
  <c r="V245" i="1" s="1"/>
  <c r="U244" i="1"/>
  <c r="V244" i="1" s="1"/>
  <c r="U243" i="1"/>
  <c r="V243" i="1" s="1"/>
  <c r="U242" i="1"/>
  <c r="V242" i="1" s="1"/>
  <c r="U241" i="1"/>
  <c r="V241" i="1" s="1"/>
  <c r="U240" i="1"/>
  <c r="V240" i="1" s="1"/>
  <c r="U239" i="1"/>
  <c r="V239" i="1" s="1"/>
  <c r="U238" i="1"/>
  <c r="V238" i="1" s="1"/>
  <c r="U237" i="1"/>
  <c r="V237" i="1" s="1"/>
  <c r="U230" i="1"/>
  <c r="V230" i="1" s="1"/>
  <c r="U229" i="1"/>
  <c r="V229" i="1" s="1"/>
  <c r="U228" i="1"/>
  <c r="V228" i="1" s="1"/>
  <c r="U227" i="1"/>
  <c r="V227" i="1" s="1"/>
  <c r="U226" i="1"/>
  <c r="V226" i="1" s="1"/>
  <c r="U225" i="1"/>
  <c r="V225" i="1" s="1"/>
  <c r="U224" i="1"/>
  <c r="V224" i="1" s="1"/>
  <c r="U223" i="1"/>
  <c r="V223" i="1" s="1"/>
  <c r="U222" i="1"/>
  <c r="V222" i="1" s="1"/>
  <c r="U221" i="1"/>
  <c r="V221" i="1" s="1"/>
  <c r="U214" i="1"/>
  <c r="V214" i="1" s="1"/>
  <c r="U213" i="1"/>
  <c r="V213" i="1" s="1"/>
  <c r="U212" i="1"/>
  <c r="V212" i="1" s="1"/>
  <c r="U211" i="1"/>
  <c r="V211" i="1" s="1"/>
  <c r="U210" i="1"/>
  <c r="V210" i="1" s="1"/>
  <c r="U209" i="1"/>
  <c r="V209" i="1" s="1"/>
  <c r="U208" i="1"/>
  <c r="V208" i="1" s="1"/>
  <c r="U207" i="1"/>
  <c r="V207" i="1" s="1"/>
  <c r="U206" i="1"/>
  <c r="V206" i="1" s="1"/>
  <c r="U205" i="1"/>
  <c r="V205" i="1" s="1"/>
  <c r="U198" i="1"/>
  <c r="V198" i="1" s="1"/>
  <c r="U197" i="1"/>
  <c r="V197" i="1" s="1"/>
  <c r="U196" i="1"/>
  <c r="V196" i="1" s="1"/>
  <c r="U195" i="1"/>
  <c r="V195" i="1" s="1"/>
  <c r="U194" i="1"/>
  <c r="V194" i="1" s="1"/>
  <c r="U193" i="1"/>
  <c r="V193" i="1" s="1"/>
  <c r="U192" i="1"/>
  <c r="V192" i="1" s="1"/>
  <c r="U191" i="1"/>
  <c r="V191" i="1" s="1"/>
  <c r="U190" i="1"/>
  <c r="V190" i="1" s="1"/>
  <c r="U189" i="1"/>
  <c r="V189" i="1" s="1"/>
  <c r="U182" i="1"/>
  <c r="V182" i="1" s="1"/>
  <c r="U181" i="1"/>
  <c r="V181" i="1" s="1"/>
  <c r="U180" i="1"/>
  <c r="V180" i="1" s="1"/>
  <c r="U179" i="1"/>
  <c r="V179" i="1" s="1"/>
  <c r="U178" i="1"/>
  <c r="V178" i="1" s="1"/>
  <c r="U177" i="1"/>
  <c r="V177" i="1" s="1"/>
  <c r="U176" i="1"/>
  <c r="V176" i="1" s="1"/>
  <c r="U175" i="1"/>
  <c r="V175" i="1" s="1"/>
  <c r="U174" i="1"/>
  <c r="V174" i="1" s="1"/>
  <c r="U173" i="1"/>
  <c r="V173" i="1" s="1"/>
  <c r="U166" i="1"/>
  <c r="V166" i="1" s="1"/>
  <c r="U165" i="1"/>
  <c r="V165" i="1" s="1"/>
  <c r="U164" i="1"/>
  <c r="V164" i="1" s="1"/>
  <c r="U163" i="1"/>
  <c r="V163" i="1" s="1"/>
  <c r="U162" i="1"/>
  <c r="V162" i="1" s="1"/>
  <c r="U161" i="1"/>
  <c r="V161" i="1" s="1"/>
  <c r="U160" i="1"/>
  <c r="V160" i="1" s="1"/>
  <c r="U159" i="1"/>
  <c r="V159" i="1" s="1"/>
  <c r="U158" i="1"/>
  <c r="V158" i="1" s="1"/>
  <c r="U157" i="1"/>
  <c r="V157" i="1" s="1"/>
  <c r="U150" i="1"/>
  <c r="V150" i="1" s="1"/>
  <c r="U149" i="1"/>
  <c r="V149" i="1" s="1"/>
  <c r="U148" i="1"/>
  <c r="U147" i="1"/>
  <c r="V147" i="1" s="1"/>
  <c r="U146" i="1"/>
  <c r="V146" i="1" s="1"/>
  <c r="U145" i="1"/>
  <c r="V145" i="1" s="1"/>
  <c r="U144" i="1"/>
  <c r="V144" i="1" s="1"/>
  <c r="U143" i="1"/>
  <c r="V143" i="1" s="1"/>
  <c r="U142" i="1"/>
  <c r="V142" i="1" s="1"/>
  <c r="U141" i="1"/>
  <c r="V141" i="1" s="1"/>
  <c r="U134" i="1"/>
  <c r="V134" i="1" s="1"/>
  <c r="U133" i="1"/>
  <c r="V133" i="1" s="1"/>
  <c r="U132" i="1"/>
  <c r="V132" i="1" s="1"/>
  <c r="U131" i="1"/>
  <c r="V131" i="1" s="1"/>
  <c r="U130" i="1"/>
  <c r="V130" i="1" s="1"/>
  <c r="U129" i="1"/>
  <c r="V129" i="1" s="1"/>
  <c r="U128" i="1"/>
  <c r="V128" i="1" s="1"/>
  <c r="U127" i="1"/>
  <c r="V127" i="1" s="1"/>
  <c r="U126" i="1"/>
  <c r="V126" i="1" s="1"/>
  <c r="U125" i="1"/>
  <c r="V125" i="1" s="1"/>
  <c r="U118" i="1"/>
  <c r="V118" i="1" s="1"/>
  <c r="U117" i="1"/>
  <c r="V117" i="1" s="1"/>
  <c r="U116" i="1"/>
  <c r="V116" i="1" s="1"/>
  <c r="U115" i="1"/>
  <c r="V115" i="1" s="1"/>
  <c r="U114" i="1"/>
  <c r="V114" i="1" s="1"/>
  <c r="U113" i="1"/>
  <c r="V113" i="1" s="1"/>
  <c r="U112" i="1"/>
  <c r="V112" i="1" s="1"/>
  <c r="U111" i="1"/>
  <c r="V111" i="1" s="1"/>
  <c r="U110" i="1"/>
  <c r="V110" i="1" s="1"/>
  <c r="U109" i="1"/>
  <c r="V109" i="1" s="1"/>
  <c r="U102" i="1"/>
  <c r="V102" i="1" s="1"/>
  <c r="U101" i="1"/>
  <c r="V101" i="1" s="1"/>
  <c r="U100" i="1"/>
  <c r="V100" i="1" s="1"/>
  <c r="U99" i="1"/>
  <c r="V99" i="1" s="1"/>
  <c r="U98" i="1"/>
  <c r="V98" i="1" s="1"/>
  <c r="U97" i="1"/>
  <c r="V97" i="1" s="1"/>
  <c r="U96" i="1"/>
  <c r="V96" i="1" s="1"/>
  <c r="U95" i="1"/>
  <c r="V95" i="1" s="1"/>
  <c r="U94" i="1"/>
  <c r="V94" i="1" s="1"/>
  <c r="U93" i="1"/>
  <c r="V93" i="1" s="1"/>
  <c r="U86" i="1"/>
  <c r="V86" i="1" s="1"/>
  <c r="U85" i="1"/>
  <c r="V85" i="1" s="1"/>
  <c r="U84" i="1"/>
  <c r="V84" i="1" s="1"/>
  <c r="U83" i="1"/>
  <c r="V83" i="1" s="1"/>
  <c r="U82" i="1"/>
  <c r="V82" i="1" s="1"/>
  <c r="U81" i="1"/>
  <c r="V81" i="1" s="1"/>
  <c r="U80" i="1"/>
  <c r="V80" i="1" s="1"/>
  <c r="U79" i="1"/>
  <c r="V79" i="1" s="1"/>
  <c r="U78" i="1"/>
  <c r="V78" i="1" s="1"/>
  <c r="U77" i="1"/>
  <c r="V77" i="1" s="1"/>
  <c r="AQ70" i="1"/>
  <c r="AR70" i="1" s="1"/>
  <c r="AQ69" i="1"/>
  <c r="AR69" i="1" s="1"/>
  <c r="AQ68" i="1"/>
  <c r="AR68" i="1" s="1"/>
  <c r="AQ67" i="1"/>
  <c r="AR67" i="1" s="1"/>
  <c r="AQ66" i="1"/>
  <c r="AR66" i="1" s="1"/>
  <c r="AQ65" i="1"/>
  <c r="AR65" i="1" s="1"/>
  <c r="AQ64" i="1"/>
  <c r="AR64" i="1" s="1"/>
  <c r="AQ63" i="1"/>
  <c r="AR63" i="1" s="1"/>
  <c r="AQ62" i="1"/>
  <c r="AR62" i="1" s="1"/>
  <c r="AQ61" i="1"/>
  <c r="AR61" i="1" s="1"/>
  <c r="AF70" i="1"/>
  <c r="AG70" i="1" s="1"/>
  <c r="AF69" i="1"/>
  <c r="AG69" i="1" s="1"/>
  <c r="AF68" i="1"/>
  <c r="AG68" i="1" s="1"/>
  <c r="AF67" i="1"/>
  <c r="AG67" i="1" s="1"/>
  <c r="AF66" i="1"/>
  <c r="AG66" i="1" s="1"/>
  <c r="AF65" i="1"/>
  <c r="AG65" i="1" s="1"/>
  <c r="AF64" i="1"/>
  <c r="AG64" i="1" s="1"/>
  <c r="AF63" i="1"/>
  <c r="AG63" i="1" s="1"/>
  <c r="AF62" i="1"/>
  <c r="AG62" i="1" s="1"/>
  <c r="AF61" i="1"/>
  <c r="AG61" i="1" s="1"/>
  <c r="U70" i="1"/>
  <c r="V70" i="1" s="1"/>
  <c r="U69" i="1"/>
  <c r="V69" i="1" s="1"/>
  <c r="U68" i="1"/>
  <c r="V68" i="1" s="1"/>
  <c r="U67" i="1"/>
  <c r="V67" i="1" s="1"/>
  <c r="U66" i="1"/>
  <c r="V66" i="1" s="1"/>
  <c r="U65" i="1"/>
  <c r="V65" i="1" s="1"/>
  <c r="U64" i="1"/>
  <c r="V64" i="1" s="1"/>
  <c r="U63" i="1"/>
  <c r="V63" i="1" s="1"/>
  <c r="U62" i="1"/>
  <c r="V62" i="1" s="1"/>
  <c r="U61" i="1"/>
  <c r="V61" i="1" s="1"/>
  <c r="K150" i="1"/>
  <c r="K148" i="1"/>
  <c r="K142" i="1"/>
  <c r="K134" i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J141" i="1"/>
  <c r="K141" i="1" s="1"/>
  <c r="J142" i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J149" i="1"/>
  <c r="K149" i="1" s="1"/>
  <c r="J150" i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9" i="1"/>
  <c r="K189" i="1" s="1"/>
  <c r="J190" i="1"/>
  <c r="K190" i="1" s="1"/>
  <c r="J191" i="1"/>
  <c r="K191" i="1" s="1"/>
  <c r="J192" i="1"/>
  <c r="K192" i="1" s="1"/>
  <c r="J193" i="1"/>
  <c r="K193" i="1" s="1"/>
  <c r="J194" i="1"/>
  <c r="K194" i="1" s="1"/>
  <c r="J195" i="1"/>
  <c r="K195" i="1" s="1"/>
  <c r="J196" i="1"/>
  <c r="K196" i="1" s="1"/>
  <c r="J197" i="1"/>
  <c r="K197" i="1" s="1"/>
  <c r="J198" i="1"/>
  <c r="K198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1" i="1"/>
  <c r="K211" i="1" s="1"/>
  <c r="J212" i="1"/>
  <c r="K212" i="1" s="1"/>
  <c r="J213" i="1"/>
  <c r="K213" i="1" s="1"/>
  <c r="J214" i="1"/>
  <c r="K214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7" i="1"/>
  <c r="K227" i="1" s="1"/>
  <c r="J228" i="1"/>
  <c r="K228" i="1" s="1"/>
  <c r="J229" i="1"/>
  <c r="K229" i="1" s="1"/>
  <c r="J230" i="1"/>
  <c r="K230" i="1" s="1"/>
  <c r="J237" i="1"/>
  <c r="K237" i="1" s="1"/>
  <c r="J238" i="1"/>
  <c r="K238" i="1" s="1"/>
  <c r="J239" i="1"/>
  <c r="K239" i="1" s="1"/>
  <c r="J240" i="1"/>
  <c r="K240" i="1" s="1"/>
  <c r="J241" i="1"/>
  <c r="K241" i="1" s="1"/>
  <c r="J242" i="1"/>
  <c r="K242" i="1" s="1"/>
  <c r="J243" i="1"/>
  <c r="K243" i="1" s="1"/>
  <c r="J244" i="1"/>
  <c r="K244" i="1" s="1"/>
  <c r="J245" i="1"/>
  <c r="K245" i="1" s="1"/>
  <c r="J246" i="1"/>
  <c r="K246" i="1" s="1"/>
  <c r="J253" i="1"/>
  <c r="K253" i="1" s="1"/>
  <c r="J254" i="1"/>
  <c r="K254" i="1" s="1"/>
  <c r="J255" i="1"/>
  <c r="K255" i="1" s="1"/>
  <c r="J256" i="1"/>
  <c r="K256" i="1" s="1"/>
  <c r="J257" i="1"/>
  <c r="K257" i="1" s="1"/>
  <c r="J258" i="1"/>
  <c r="K258" i="1" s="1"/>
  <c r="J259" i="1"/>
  <c r="K259" i="1" s="1"/>
  <c r="J260" i="1"/>
  <c r="K260" i="1" s="1"/>
  <c r="J261" i="1"/>
  <c r="K261" i="1" s="1"/>
  <c r="J262" i="1"/>
  <c r="K262" i="1" s="1"/>
  <c r="J269" i="1"/>
  <c r="K269" i="1" s="1"/>
  <c r="J270" i="1"/>
  <c r="K270" i="1" s="1"/>
  <c r="J271" i="1"/>
  <c r="K271" i="1" s="1"/>
  <c r="J272" i="1"/>
  <c r="K272" i="1" s="1"/>
  <c r="J273" i="1"/>
  <c r="K273" i="1" s="1"/>
  <c r="J274" i="1"/>
  <c r="K274" i="1" s="1"/>
  <c r="J275" i="1"/>
  <c r="K275" i="1" s="1"/>
  <c r="J276" i="1"/>
  <c r="K276" i="1" s="1"/>
  <c r="J277" i="1"/>
  <c r="K277" i="1" s="1"/>
  <c r="J278" i="1"/>
  <c r="K278" i="1" s="1"/>
  <c r="J285" i="1"/>
  <c r="K285" i="1" s="1"/>
  <c r="J286" i="1"/>
  <c r="K286" i="1" s="1"/>
  <c r="J287" i="1"/>
  <c r="K287" i="1" s="1"/>
  <c r="J288" i="1"/>
  <c r="K288" i="1" s="1"/>
  <c r="J289" i="1"/>
  <c r="K289" i="1" s="1"/>
  <c r="J290" i="1"/>
  <c r="K290" i="1" s="1"/>
  <c r="J291" i="1"/>
  <c r="K291" i="1" s="1"/>
  <c r="J292" i="1"/>
  <c r="K292" i="1" s="1"/>
  <c r="J293" i="1"/>
  <c r="K293" i="1" s="1"/>
  <c r="J294" i="1"/>
  <c r="K294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K307" i="1" s="1"/>
  <c r="J308" i="1"/>
  <c r="K308" i="1" s="1"/>
  <c r="J309" i="1"/>
  <c r="K309" i="1" s="1"/>
  <c r="J310" i="1"/>
  <c r="K310" i="1" s="1"/>
  <c r="J61" i="1"/>
  <c r="K61" i="1" s="1"/>
  <c r="V323" i="1" l="1"/>
  <c r="K318" i="1"/>
  <c r="AG321" i="1"/>
  <c r="AR314" i="1"/>
  <c r="V314" i="1"/>
  <c r="V322" i="1"/>
  <c r="V318" i="1"/>
  <c r="K319" i="1"/>
  <c r="BC315" i="1"/>
  <c r="BC323" i="1"/>
  <c r="K322" i="1"/>
  <c r="K316" i="1"/>
  <c r="K320" i="1"/>
  <c r="V315" i="1"/>
  <c r="V319" i="1"/>
  <c r="V317" i="1"/>
  <c r="V321" i="1"/>
  <c r="AG316" i="1"/>
  <c r="AG320" i="1"/>
  <c r="AG314" i="1"/>
  <c r="AG318" i="1"/>
  <c r="AG322" i="1"/>
  <c r="AR315" i="1"/>
  <c r="AR319" i="1"/>
  <c r="AR323" i="1"/>
  <c r="BC316" i="1"/>
  <c r="BC320" i="1"/>
  <c r="K315" i="1"/>
  <c r="K323" i="1"/>
  <c r="BC319" i="1"/>
  <c r="V316" i="1"/>
  <c r="V320" i="1"/>
  <c r="AG317" i="1"/>
  <c r="AR318" i="1"/>
  <c r="AR322" i="1"/>
  <c r="K317" i="1"/>
  <c r="K321" i="1"/>
  <c r="AG315" i="1"/>
  <c r="AG319" i="1"/>
  <c r="AG323" i="1"/>
  <c r="AR316" i="1"/>
  <c r="AR320" i="1"/>
  <c r="BC317" i="1"/>
  <c r="BC321" i="1"/>
  <c r="K314" i="1"/>
  <c r="AR317" i="1"/>
  <c r="AR321" i="1"/>
  <c r="BC314" i="1"/>
  <c r="BC318" i="1"/>
  <c r="BC322" i="1"/>
  <c r="B315" i="1" l="1"/>
  <c r="B314" i="1"/>
  <c r="B321" i="1"/>
  <c r="B323" i="1"/>
  <c r="B320" i="1"/>
  <c r="B316" i="1"/>
  <c r="B322" i="1"/>
  <c r="B317" i="1"/>
  <c r="B319" i="1"/>
  <c r="B318" i="1"/>
</calcChain>
</file>

<file path=xl/sharedStrings.xml><?xml version="1.0" encoding="utf-8"?>
<sst xmlns="http://schemas.openxmlformats.org/spreadsheetml/2006/main" count="6247" uniqueCount="41">
  <si>
    <t>Energy source/carrier</t>
  </si>
  <si>
    <t>solar thermal</t>
  </si>
  <si>
    <t>biomass</t>
  </si>
  <si>
    <t>air</t>
  </si>
  <si>
    <t>natural gas</t>
  </si>
  <si>
    <t>oil</t>
  </si>
  <si>
    <t>coal</t>
  </si>
  <si>
    <t>boiler</t>
  </si>
  <si>
    <t>individual</t>
  </si>
  <si>
    <t>DHC</t>
  </si>
  <si>
    <t>heat pump</t>
  </si>
  <si>
    <t>CHP plant</t>
  </si>
  <si>
    <t>cold water bodies</t>
  </si>
  <si>
    <t>heat exchanger</t>
  </si>
  <si>
    <t>Technology</t>
  </si>
  <si>
    <t>x</t>
  </si>
  <si>
    <t>deep geothermy</t>
  </si>
  <si>
    <t>shallow geothermy</t>
  </si>
  <si>
    <t>N/A</t>
  </si>
  <si>
    <t>Planning criterium:</t>
  </si>
  <si>
    <t>Excess heat</t>
  </si>
  <si>
    <t>Space heating high temperature</t>
  </si>
  <si>
    <t>Space heating medium temperature</t>
  </si>
  <si>
    <t>Space heating low temperature</t>
  </si>
  <si>
    <t>Domestic hot water</t>
  </si>
  <si>
    <t>Space cooling</t>
  </si>
  <si>
    <t>Weight factor (1-10)</t>
  </si>
  <si>
    <t>SPACE heating high temperature</t>
  </si>
  <si>
    <t>SPACE heating medium T</t>
  </si>
  <si>
    <t>SPACE heating low T</t>
  </si>
  <si>
    <t>SPACE heating DHW</t>
  </si>
  <si>
    <t>Cooling demand</t>
  </si>
  <si>
    <t>Sum space heating and DHW</t>
  </si>
  <si>
    <t>Calculations are given below</t>
  </si>
  <si>
    <t>shallow geothermal</t>
  </si>
  <si>
    <t>deep geothermal</t>
  </si>
  <si>
    <t>air cooling</t>
  </si>
  <si>
    <t>calculations</t>
  </si>
  <si>
    <t>Weight factor</t>
  </si>
  <si>
    <t>USER INPUT =&gt; Selecting planning criteria</t>
  </si>
  <si>
    <t>Ranking exercise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</si>
</sst>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8"/>
      <color rgb="FF000000"/>
      <name val="Calibri"/>
      <family val="2"/>
    </font>
    <font>
      <b/>
      <sz val="20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0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6" xfId="0" applyBorder="1"/>
    <xf numFmtId="0" fontId="0" fillId="0" borderId="10" xfId="0" applyBorder="1"/>
    <xf numFmtId="0" fontId="0" fillId="0" borderId="9" xfId="0" applyBorder="1"/>
    <xf numFmtId="0" fontId="1" fillId="0" borderId="0" xfId="0" applyFont="1"/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/>
    <xf numFmtId="0" fontId="0" fillId="0" borderId="2" xfId="0" applyFill="1" applyBorder="1"/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Fill="1" applyBorder="1"/>
    <xf numFmtId="0" fontId="3" fillId="0" borderId="6" xfId="0" applyFont="1" applyBorder="1"/>
    <xf numFmtId="0" fontId="4" fillId="0" borderId="11" xfId="0" applyFont="1" applyFill="1" applyBorder="1"/>
    <xf numFmtId="0" fontId="0" fillId="0" borderId="7" xfId="0" applyFill="1" applyBorder="1"/>
    <xf numFmtId="0" fontId="4" fillId="0" borderId="10" xfId="0" applyFont="1" applyFill="1" applyBorder="1"/>
    <xf numFmtId="0" fontId="0" fillId="0" borderId="9" xfId="0" applyFill="1" applyBorder="1"/>
    <xf numFmtId="0" fontId="1" fillId="0" borderId="6" xfId="0" applyFont="1" applyFill="1" applyBorder="1"/>
    <xf numFmtId="0" fontId="0" fillId="0" borderId="7" xfId="0" applyBorder="1"/>
    <xf numFmtId="0" fontId="7" fillId="0" borderId="0" xfId="0" applyFont="1" applyBorder="1"/>
    <xf numFmtId="0" fontId="8" fillId="0" borderId="0" xfId="0" applyFont="1" applyFill="1" applyBorder="1"/>
    <xf numFmtId="0" fontId="0" fillId="2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3" xfId="0" applyBorder="1"/>
    <xf numFmtId="0" fontId="4" fillId="0" borderId="3" xfId="0" applyFont="1" applyFill="1" applyBorder="1"/>
    <xf numFmtId="0" fontId="0" fillId="0" borderId="3" xfId="0" applyFill="1" applyBorder="1"/>
    <xf numFmtId="0" fontId="9" fillId="0" borderId="0" xfId="0" applyFont="1" applyBorder="1"/>
    <xf numFmtId="0" fontId="8" fillId="0" borderId="6" xfId="0" applyFont="1" applyFill="1" applyBorder="1"/>
    <xf numFmtId="0" fontId="8" fillId="0" borderId="7" xfId="0" applyFont="1" applyFill="1" applyBorder="1"/>
    <xf numFmtId="0" fontId="8" fillId="0" borderId="1" xfId="0" applyFont="1" applyFill="1" applyBorder="1"/>
    <xf numFmtId="0" fontId="8" fillId="0" borderId="2" xfId="0" applyFont="1" applyFill="1" applyBorder="1"/>
    <xf numFmtId="0" fontId="8" fillId="0" borderId="8" xfId="0" applyFont="1" applyFill="1" applyBorder="1"/>
    <xf numFmtId="0" fontId="8" fillId="0" borderId="9" xfId="0" applyFon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A$57" lockText="1" noThreeD="1"/>
</file>

<file path=xl/ctrlProps/ctrlProp2.xml><?xml version="1.0" encoding="utf-8"?>
<formControlPr xmlns="http://schemas.microsoft.com/office/spreadsheetml/2009/9/main" objectType="CheckBox" fmlaLink="$A$73" lockText="1" noThreeD="1"/>
</file>

<file path=xl/ctrlProps/ctrlProp3.xml><?xml version="1.0" encoding="utf-8"?>
<formControlPr xmlns="http://schemas.microsoft.com/office/spreadsheetml/2009/9/main" objectType="CheckBox" checked="Checked" fmlaLink="$A$89" lockText="1" noThreeD="1"/>
</file>

<file path=xl/ctrlProps/ctrlProp4.xml><?xml version="1.0" encoding="utf-8"?>
<formControlPr xmlns="http://schemas.microsoft.com/office/spreadsheetml/2009/9/main" objectType="CheckBox" checked="Checked" fmlaLink="$A$105" lockText="1" noThreeD="1"/>
</file>

<file path=xl/ctrlProps/ctrlProp5.xml><?xml version="1.0" encoding="utf-8"?>
<formControlPr xmlns="http://schemas.microsoft.com/office/spreadsheetml/2009/9/main" objectType="CheckBox" checked="Checked" fmlaLink="$A$121" lockText="1" noThreeD="1"/>
</file>

<file path=xl/ctrlProps/ctrlProp6.xml><?xml version="1.0" encoding="utf-8"?>
<formControlPr xmlns="http://schemas.microsoft.com/office/spreadsheetml/2009/9/main" objectType="CheckBox" checked="Checked" fmlaLink="$A137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$A153" lockText="1" noThreeD="1"/>
</file>

<file path=xl/ctrlProps/ctrlProp9.xml><?xml version="1.0" encoding="utf-8"?>
<formControlPr xmlns="http://schemas.microsoft.com/office/spreadsheetml/2009/9/main" objectType="CheckBox" checked="Checked" fmlaLink="$A169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checked="Checked" fmlaLink="$A185" lockText="1" noThreeD="1"/>
</file>

<file path=xl/ctrlProps/ctrlProp13.xml><?xml version="1.0" encoding="utf-8"?>
<formControlPr xmlns="http://schemas.microsoft.com/office/spreadsheetml/2009/9/main" objectType="CheckBox" fmlaLink="$A201" lockText="1" noThreeD="1"/>
</file>

<file path=xl/ctrlProps/ctrlProp14.xml><?xml version="1.0" encoding="utf-8"?>
<formControlPr xmlns="http://schemas.microsoft.com/office/spreadsheetml/2009/9/main" objectType="CheckBox" checked="Checked" fmlaLink="$A217" lockText="1" noThreeD="1"/>
</file>

<file path=xl/ctrlProps/ctrlProp15.xml><?xml version="1.0" encoding="utf-8"?>
<formControlPr xmlns="http://schemas.microsoft.com/office/spreadsheetml/2009/9/main" objectType="CheckBox" checked="Checked" fmlaLink="$A233" lockText="1" noThreeD="1"/>
</file>

<file path=xl/ctrlProps/ctrlProp16.xml><?xml version="1.0" encoding="utf-8"?>
<formControlPr xmlns="http://schemas.microsoft.com/office/spreadsheetml/2009/9/main" objectType="CheckBox" fmlaLink="$A249" lockText="1" noThreeD="1"/>
</file>

<file path=xl/ctrlProps/ctrlProp17.xml><?xml version="1.0" encoding="utf-8"?>
<formControlPr xmlns="http://schemas.microsoft.com/office/spreadsheetml/2009/9/main" objectType="CheckBox" fmlaLink="$A265" lockText="1" noThreeD="1"/>
</file>

<file path=xl/ctrlProps/ctrlProp18.xml><?xml version="1.0" encoding="utf-8"?>
<formControlPr xmlns="http://schemas.microsoft.com/office/spreadsheetml/2009/9/main" objectType="CheckBox" fmlaLink="$A281" lockText="1" noThreeD="1"/>
</file>

<file path=xl/ctrlProps/ctrlProp19.xml><?xml version="1.0" encoding="utf-8"?>
<formControlPr xmlns="http://schemas.microsoft.com/office/spreadsheetml/2009/9/main" objectType="CheckBox" fmlaLink="$A297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$A$57" lockText="1" noThreeD="1"/>
</file>

<file path=xl/ctrlProps/ctrlProp22.xml><?xml version="1.0" encoding="utf-8"?>
<formControlPr xmlns="http://schemas.microsoft.com/office/spreadsheetml/2009/9/main" objectType="CheckBox" fmlaLink="$A$73" lockText="1" noThreeD="1"/>
</file>

<file path=xl/ctrlProps/ctrlProp23.xml><?xml version="1.0" encoding="utf-8"?>
<formControlPr xmlns="http://schemas.microsoft.com/office/spreadsheetml/2009/9/main" objectType="CheckBox" checked="Checked" fmlaLink="$A$89" lockText="1" noThreeD="1"/>
</file>

<file path=xl/ctrlProps/ctrlProp24.xml><?xml version="1.0" encoding="utf-8"?>
<formControlPr xmlns="http://schemas.microsoft.com/office/spreadsheetml/2009/9/main" objectType="CheckBox" checked="Checked" fmlaLink="$A$105" lockText="1" noThreeD="1"/>
</file>

<file path=xl/ctrlProps/ctrlProp25.xml><?xml version="1.0" encoding="utf-8"?>
<formControlPr xmlns="http://schemas.microsoft.com/office/spreadsheetml/2009/9/main" objectType="CheckBox" checked="Checked" fmlaLink="$A$121" lockText="1" noThreeD="1"/>
</file>

<file path=xl/ctrlProps/ctrlProp26.xml><?xml version="1.0" encoding="utf-8"?>
<formControlPr xmlns="http://schemas.microsoft.com/office/spreadsheetml/2009/9/main" objectType="CheckBox" checked="Checked" fmlaLink="$A137" lockText="1" noThreeD="1"/>
</file>

<file path=xl/ctrlProps/ctrlProp27.xml><?xml version="1.0" encoding="utf-8"?>
<formControlPr xmlns="http://schemas.microsoft.com/office/spreadsheetml/2009/9/main" objectType="CheckBox" fmlaLink="$A153" lockText="1" noThreeD="1"/>
</file>

<file path=xl/ctrlProps/ctrlProp28.xml><?xml version="1.0" encoding="utf-8"?>
<formControlPr xmlns="http://schemas.microsoft.com/office/spreadsheetml/2009/9/main" objectType="CheckBox" checked="Checked" fmlaLink="$A169" lockText="1" noThreeD="1"/>
</file>

<file path=xl/ctrlProps/ctrlProp29.xml><?xml version="1.0" encoding="utf-8"?>
<formControlPr xmlns="http://schemas.microsoft.com/office/spreadsheetml/2009/9/main" objectType="CheckBox" checked="Checked" fmlaLink="$A185" lockText="1" noThreeD="1"/>
</file>

<file path=xl/ctrlProps/ctrlProp30.xml><?xml version="1.0" encoding="utf-8"?>
<formControlPr xmlns="http://schemas.microsoft.com/office/spreadsheetml/2009/9/main" objectType="CheckBox" fmlaLink="$A201" lockText="1" noThreeD="1"/>
</file>

<file path=xl/ctrlProps/ctrlProp31.xml><?xml version="1.0" encoding="utf-8"?>
<formControlPr xmlns="http://schemas.microsoft.com/office/spreadsheetml/2009/9/main" objectType="CheckBox" checked="Checked" fmlaLink="$A217" lockText="1" noThreeD="1"/>
</file>

<file path=xl/ctrlProps/ctrlProp32.xml><?xml version="1.0" encoding="utf-8"?>
<formControlPr xmlns="http://schemas.microsoft.com/office/spreadsheetml/2009/9/main" objectType="CheckBox" fmlaLink="$A219" lockText="1" noThreeD="1"/>
</file>

<file path=xl/ctrlProps/ctrlProp33.xml><?xml version="1.0" encoding="utf-8"?>
<formControlPr xmlns="http://schemas.microsoft.com/office/spreadsheetml/2009/9/main" objectType="CheckBox" fmlaLink="$A249" lockText="1" noThreeD="1"/>
</file>

<file path=xl/ctrlProps/ctrlProp34.xml><?xml version="1.0" encoding="utf-8"?>
<formControlPr xmlns="http://schemas.microsoft.com/office/spreadsheetml/2009/9/main" objectType="CheckBox" fmlaLink="$A265" lockText="1" noThreeD="1"/>
</file>

<file path=xl/ctrlProps/ctrlProp35.xml><?xml version="1.0" encoding="utf-8"?>
<formControlPr xmlns="http://schemas.microsoft.com/office/spreadsheetml/2009/9/main" objectType="CheckBox" fmlaLink="$A281" lockText="1" noThreeD="1"/>
</file>

<file path=xl/ctrlProps/ctrlProp36.xml><?xml version="1.0" encoding="utf-8"?>
<formControlPr xmlns="http://schemas.microsoft.com/office/spreadsheetml/2009/9/main" objectType="CheckBox" fmlaLink="$A297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55</xdr:row>
          <xdr:rowOff>38100</xdr:rowOff>
        </xdr:from>
        <xdr:to>
          <xdr:col>6</xdr:col>
          <xdr:colOff>464820</xdr:colOff>
          <xdr:row>56</xdr:row>
          <xdr:rowOff>152400</xdr:rowOff>
        </xdr:to>
        <xdr:sp macro="" textlink="">
          <xdr:nvSpPr>
            <xdr:cNvPr id="1025" name="Check Box 1" descr=" Achieve levelized cost of electricity (LCOE) and heat (LCOH)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Achieve levelized cost of electricity (LCOE) and heat (LCOH)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71</xdr:row>
          <xdr:rowOff>68580</xdr:rowOff>
        </xdr:from>
        <xdr:to>
          <xdr:col>6</xdr:col>
          <xdr:colOff>464820</xdr:colOff>
          <xdr:row>73</xdr:row>
          <xdr:rowOff>0</xdr:rowOff>
        </xdr:to>
        <xdr:sp macro="" textlink="">
          <xdr:nvSpPr>
            <xdr:cNvPr id="1027" name="Check Box 3" descr=" Achieve levelized cost of electricity (LCOE) and heat (LCOH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OPEX cost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87</xdr:row>
          <xdr:rowOff>68580</xdr:rowOff>
        </xdr:from>
        <xdr:to>
          <xdr:col>6</xdr:col>
          <xdr:colOff>464820</xdr:colOff>
          <xdr:row>89</xdr:row>
          <xdr:rowOff>0</xdr:rowOff>
        </xdr:to>
        <xdr:sp macro="" textlink="">
          <xdr:nvSpPr>
            <xdr:cNvPr id="1028" name="Check Box 4" descr=" Achieve levelized cost of electricity (LCOE) and heat (LCOH)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energy tariffs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103</xdr:row>
          <xdr:rowOff>7620</xdr:rowOff>
        </xdr:from>
        <xdr:to>
          <xdr:col>6</xdr:col>
          <xdr:colOff>502920</xdr:colOff>
          <xdr:row>104</xdr:row>
          <xdr:rowOff>121920</xdr:rowOff>
        </xdr:to>
        <xdr:sp macro="" textlink="">
          <xdr:nvSpPr>
            <xdr:cNvPr id="1031" name="Check Box 7" descr=" Achieve levelized cost of electricity (LCOE) and heat (LCOH)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Continuous availability of supply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119</xdr:row>
          <xdr:rowOff>7620</xdr:rowOff>
        </xdr:from>
        <xdr:to>
          <xdr:col>6</xdr:col>
          <xdr:colOff>502920</xdr:colOff>
          <xdr:row>120</xdr:row>
          <xdr:rowOff>121920</xdr:rowOff>
        </xdr:to>
        <xdr:sp macro="" textlink="">
          <xdr:nvSpPr>
            <xdr:cNvPr id="1033" name="Check Box 9" descr=" Achieve levelized cost of electricity (LCOE) and heat (LCOH)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Greenhouse gas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135</xdr:row>
          <xdr:rowOff>7620</xdr:rowOff>
        </xdr:from>
        <xdr:to>
          <xdr:col>6</xdr:col>
          <xdr:colOff>472440</xdr:colOff>
          <xdr:row>136</xdr:row>
          <xdr:rowOff>121920</xdr:rowOff>
        </xdr:to>
        <xdr:sp macro="" textlink="">
          <xdr:nvSpPr>
            <xdr:cNvPr id="1034" name="Check Box 10" descr=" Achieve levelized cost of electricity (LCOE) and heat (LCOH)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NOX, SOX and particle emission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151</xdr:row>
          <xdr:rowOff>0</xdr:rowOff>
        </xdr:from>
        <xdr:to>
          <xdr:col>6</xdr:col>
          <xdr:colOff>472440</xdr:colOff>
          <xdr:row>152</xdr:row>
          <xdr:rowOff>114300</xdr:rowOff>
        </xdr:to>
        <xdr:sp macro="" textlink="">
          <xdr:nvSpPr>
            <xdr:cNvPr id="1035" name="Check Box 11" descr=" Achieve levelized cost of electricity (LCOE) and heat (LCOH)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NOX, SOX and particle emission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151</xdr:row>
          <xdr:rowOff>7620</xdr:rowOff>
        </xdr:from>
        <xdr:to>
          <xdr:col>6</xdr:col>
          <xdr:colOff>472440</xdr:colOff>
          <xdr:row>152</xdr:row>
          <xdr:rowOff>121920</xdr:rowOff>
        </xdr:to>
        <xdr:sp macro="" textlink="">
          <xdr:nvSpPr>
            <xdr:cNvPr id="1036" name="Check Box 12" descr=" Achieve levelized cost of electricity (LCOE) and heat (LCOH)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Noise pollution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167</xdr:row>
          <xdr:rowOff>7620</xdr:rowOff>
        </xdr:from>
        <xdr:to>
          <xdr:col>6</xdr:col>
          <xdr:colOff>472440</xdr:colOff>
          <xdr:row>168</xdr:row>
          <xdr:rowOff>121920</xdr:rowOff>
        </xdr:to>
        <xdr:sp macro="" textlink="">
          <xdr:nvSpPr>
            <xdr:cNvPr id="1037" name="Check Box 13" descr=" Achieve levelized cost of electricity (LCOE) and heat (LCOH)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Primary energy consumption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183</xdr:row>
          <xdr:rowOff>0</xdr:rowOff>
        </xdr:from>
        <xdr:to>
          <xdr:col>6</xdr:col>
          <xdr:colOff>472440</xdr:colOff>
          <xdr:row>184</xdr:row>
          <xdr:rowOff>114300</xdr:rowOff>
        </xdr:to>
        <xdr:sp macro="" textlink="">
          <xdr:nvSpPr>
            <xdr:cNvPr id="1038" name="Check Box 14" descr=" Achieve levelized cost of electricity (LCOE) and heat (LCOH)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final energy consumption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183</xdr:row>
          <xdr:rowOff>0</xdr:rowOff>
        </xdr:from>
        <xdr:to>
          <xdr:col>6</xdr:col>
          <xdr:colOff>472440</xdr:colOff>
          <xdr:row>184</xdr:row>
          <xdr:rowOff>114300</xdr:rowOff>
        </xdr:to>
        <xdr:sp macro="" textlink="">
          <xdr:nvSpPr>
            <xdr:cNvPr id="1039" name="Check Box 15" descr=" Achieve levelized cost of electricity (LCOE) and heat (LCOH)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useful energy demand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183</xdr:row>
          <xdr:rowOff>7620</xdr:rowOff>
        </xdr:from>
        <xdr:to>
          <xdr:col>6</xdr:col>
          <xdr:colOff>472440</xdr:colOff>
          <xdr:row>184</xdr:row>
          <xdr:rowOff>121920</xdr:rowOff>
        </xdr:to>
        <xdr:sp macro="" textlink="">
          <xdr:nvSpPr>
            <xdr:cNvPr id="1040" name="Check Box 16" descr=" Achieve levelized cost of electricity (LCOE) and heat (LCOH)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renewable sources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199</xdr:row>
          <xdr:rowOff>7620</xdr:rowOff>
        </xdr:from>
        <xdr:to>
          <xdr:col>6</xdr:col>
          <xdr:colOff>472440</xdr:colOff>
          <xdr:row>200</xdr:row>
          <xdr:rowOff>121920</xdr:rowOff>
        </xdr:to>
        <xdr:sp macro="" textlink="">
          <xdr:nvSpPr>
            <xdr:cNvPr id="1041" name="Check Box 17" descr=" Achieve levelized cost of electricity (LCOE) and heat (LCOH)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use of local available waste heat sources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215</xdr:row>
          <xdr:rowOff>7620</xdr:rowOff>
        </xdr:from>
        <xdr:to>
          <xdr:col>6</xdr:col>
          <xdr:colOff>472440</xdr:colOff>
          <xdr:row>216</xdr:row>
          <xdr:rowOff>121920</xdr:rowOff>
        </xdr:to>
        <xdr:sp macro="" textlink="">
          <xdr:nvSpPr>
            <xdr:cNvPr id="1042" name="Check Box 18" descr=" Achieve levelized cost of electricity (LCOE) and heat (LCOH)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conventional fuels consumption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231</xdr:row>
          <xdr:rowOff>7620</xdr:rowOff>
        </xdr:from>
        <xdr:to>
          <xdr:col>6</xdr:col>
          <xdr:colOff>472440</xdr:colOff>
          <xdr:row>232</xdr:row>
          <xdr:rowOff>121920</xdr:rowOff>
        </xdr:to>
        <xdr:sp macro="" textlink="">
          <xdr:nvSpPr>
            <xdr:cNvPr id="1043" name="Check Box 19" descr=" Achieve levelized cost of electricity (LCOE) and heat (LCOH)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energy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247</xdr:row>
          <xdr:rowOff>7620</xdr:rowOff>
        </xdr:from>
        <xdr:to>
          <xdr:col>6</xdr:col>
          <xdr:colOff>472440</xdr:colOff>
          <xdr:row>248</xdr:row>
          <xdr:rowOff>121920</xdr:rowOff>
        </xdr:to>
        <xdr:sp macro="" textlink="">
          <xdr:nvSpPr>
            <xdr:cNvPr id="1044" name="Check Box 20" descr=" Achieve levelized cost of electricity (LCOE) and heat (LCOH)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DHC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263</xdr:row>
          <xdr:rowOff>7620</xdr:rowOff>
        </xdr:from>
        <xdr:to>
          <xdr:col>6</xdr:col>
          <xdr:colOff>472440</xdr:colOff>
          <xdr:row>264</xdr:row>
          <xdr:rowOff>121920</xdr:rowOff>
        </xdr:to>
        <xdr:sp macro="" textlink="">
          <xdr:nvSpPr>
            <xdr:cNvPr id="1045" name="Check Box 21" descr=" Achieve levelized cost of electricity (LCOE) and heat (LCOH)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cooling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279</xdr:row>
          <xdr:rowOff>7620</xdr:rowOff>
        </xdr:from>
        <xdr:to>
          <xdr:col>6</xdr:col>
          <xdr:colOff>472440</xdr:colOff>
          <xdr:row>280</xdr:row>
          <xdr:rowOff>121920</xdr:rowOff>
        </xdr:to>
        <xdr:sp macro="" textlink="">
          <xdr:nvSpPr>
            <xdr:cNvPr id="1046" name="Check Box 22" descr=" Achieve levelized cost of electricity (LCOE) and heat (LCOH)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Job creation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295</xdr:row>
          <xdr:rowOff>7620</xdr:rowOff>
        </xdr:from>
        <xdr:to>
          <xdr:col>6</xdr:col>
          <xdr:colOff>472440</xdr:colOff>
          <xdr:row>296</xdr:row>
          <xdr:rowOff>121920</xdr:rowOff>
        </xdr:to>
        <xdr:sp macro="" textlink="">
          <xdr:nvSpPr>
            <xdr:cNvPr id="1047" name="Check Box 23" descr=" Achieve levelized cost of electricity (LCOE) and heat (LCOH)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Reduce energy poverty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12</xdr:row>
          <xdr:rowOff>106680</xdr:rowOff>
        </xdr:from>
        <xdr:to>
          <xdr:col>14</xdr:col>
          <xdr:colOff>358140</xdr:colOff>
          <xdr:row>16</xdr:row>
          <xdr:rowOff>99060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B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heating (space +DHW)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2</xdr:row>
          <xdr:rowOff>76200</xdr:rowOff>
        </xdr:from>
        <xdr:to>
          <xdr:col>4</xdr:col>
          <xdr:colOff>579120</xdr:colOff>
          <xdr:row>3</xdr:row>
          <xdr:rowOff>167640</xdr:rowOff>
        </xdr:to>
        <xdr:sp macro="" textlink="">
          <xdr:nvSpPr>
            <xdr:cNvPr id="1055" name="Check Box 31" descr=" Achieve levelized cost of electricity (LCOE) and heat (LCOH)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Reduction in levelized cost of electricity (LCOE) and heat (LCOH)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5</xdr:row>
          <xdr:rowOff>68580</xdr:rowOff>
        </xdr:from>
        <xdr:to>
          <xdr:col>4</xdr:col>
          <xdr:colOff>571500</xdr:colOff>
          <xdr:row>6</xdr:row>
          <xdr:rowOff>167640</xdr:rowOff>
        </xdr:to>
        <xdr:sp macro="" textlink="">
          <xdr:nvSpPr>
            <xdr:cNvPr id="1060" name="Check Box 36" descr=" Achieve levelized cost of electricity (LCOE) and heat (LCOH)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OPEX cost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8</xdr:row>
          <xdr:rowOff>68580</xdr:rowOff>
        </xdr:from>
        <xdr:to>
          <xdr:col>4</xdr:col>
          <xdr:colOff>571500</xdr:colOff>
          <xdr:row>9</xdr:row>
          <xdr:rowOff>167640</xdr:rowOff>
        </xdr:to>
        <xdr:sp macro="" textlink="">
          <xdr:nvSpPr>
            <xdr:cNvPr id="1062" name="Check Box 38" descr=" Achieve levelized cost of electricity (LCOE) and heat (LCOH)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energy tariffs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11</xdr:row>
          <xdr:rowOff>7620</xdr:rowOff>
        </xdr:from>
        <xdr:to>
          <xdr:col>4</xdr:col>
          <xdr:colOff>609600</xdr:colOff>
          <xdr:row>12</xdr:row>
          <xdr:rowOff>106680</xdr:rowOff>
        </xdr:to>
        <xdr:sp macro="" textlink="">
          <xdr:nvSpPr>
            <xdr:cNvPr id="1064" name="Check Box 40" descr=" Achieve levelized cost of electricity (LCOE) and heat (LCOH)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Security of supply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14</xdr:row>
          <xdr:rowOff>7620</xdr:rowOff>
        </xdr:from>
        <xdr:to>
          <xdr:col>4</xdr:col>
          <xdr:colOff>609600</xdr:colOff>
          <xdr:row>15</xdr:row>
          <xdr:rowOff>106680</xdr:rowOff>
        </xdr:to>
        <xdr:sp macro="" textlink="">
          <xdr:nvSpPr>
            <xdr:cNvPr id="1066" name="Check Box 42" descr=" Achieve levelized cost of electricity (LCOE) and heat (LCOH)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Greenhouse gas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17</xdr:row>
          <xdr:rowOff>7620</xdr:rowOff>
        </xdr:from>
        <xdr:to>
          <xdr:col>4</xdr:col>
          <xdr:colOff>579120</xdr:colOff>
          <xdr:row>18</xdr:row>
          <xdr:rowOff>106680</xdr:rowOff>
        </xdr:to>
        <xdr:sp macro="" textlink="">
          <xdr:nvSpPr>
            <xdr:cNvPr id="1067" name="Check Box 43" descr=" Achieve levelized cost of electricity (LCOE) and heat (LCOH)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NOX, SOX and particle emission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20</xdr:row>
          <xdr:rowOff>7620</xdr:rowOff>
        </xdr:from>
        <xdr:to>
          <xdr:col>4</xdr:col>
          <xdr:colOff>579120</xdr:colOff>
          <xdr:row>21</xdr:row>
          <xdr:rowOff>76200</xdr:rowOff>
        </xdr:to>
        <xdr:sp macro="" textlink="">
          <xdr:nvSpPr>
            <xdr:cNvPr id="1069" name="Check Box 45" descr=" Achieve levelized cost of electricity (LCOE) and heat (LCOH)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Noise pollution reduction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23</xdr:row>
          <xdr:rowOff>7620</xdr:rowOff>
        </xdr:from>
        <xdr:to>
          <xdr:col>4</xdr:col>
          <xdr:colOff>579120</xdr:colOff>
          <xdr:row>24</xdr:row>
          <xdr:rowOff>76200</xdr:rowOff>
        </xdr:to>
        <xdr:sp macro="" textlink="">
          <xdr:nvSpPr>
            <xdr:cNvPr id="1070" name="Check Box 46" descr=" Achieve levelized cost of electricity (LCOE) and heat (LCOH)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Primary energy consumption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26</xdr:row>
          <xdr:rowOff>7620</xdr:rowOff>
        </xdr:from>
        <xdr:to>
          <xdr:col>4</xdr:col>
          <xdr:colOff>579120</xdr:colOff>
          <xdr:row>27</xdr:row>
          <xdr:rowOff>76200</xdr:rowOff>
        </xdr:to>
        <xdr:sp macro="" textlink="">
          <xdr:nvSpPr>
            <xdr:cNvPr id="1071" name="Check Box 47" descr=" Achieve levelized cost of electricity (LCOE) and heat (LCOH)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renewable sources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29</xdr:row>
          <xdr:rowOff>7620</xdr:rowOff>
        </xdr:from>
        <xdr:to>
          <xdr:col>4</xdr:col>
          <xdr:colOff>579120</xdr:colOff>
          <xdr:row>30</xdr:row>
          <xdr:rowOff>106680</xdr:rowOff>
        </xdr:to>
        <xdr:sp macro="" textlink="">
          <xdr:nvSpPr>
            <xdr:cNvPr id="1072" name="Check Box 48" descr=" Achieve levelized cost of electricity (LCOE) and heat (LCOH)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use of local available waste heat sources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32</xdr:row>
          <xdr:rowOff>7620</xdr:rowOff>
        </xdr:from>
        <xdr:to>
          <xdr:col>4</xdr:col>
          <xdr:colOff>579120</xdr:colOff>
          <xdr:row>33</xdr:row>
          <xdr:rowOff>106680</xdr:rowOff>
        </xdr:to>
        <xdr:sp macro="" textlink="">
          <xdr:nvSpPr>
            <xdr:cNvPr id="1073" name="Check Box 49" descr=" Achieve levelized cost of electricity (LCOE) and heat (LCOH)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conventional fuels consumption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35</xdr:row>
          <xdr:rowOff>30480</xdr:rowOff>
        </xdr:from>
        <xdr:to>
          <xdr:col>4</xdr:col>
          <xdr:colOff>579120</xdr:colOff>
          <xdr:row>36</xdr:row>
          <xdr:rowOff>129540</xdr:rowOff>
        </xdr:to>
        <xdr:sp macro="" textlink="">
          <xdr:nvSpPr>
            <xdr:cNvPr id="1074" name="Check Box 50" descr=" Achieve levelized cost of electricity (LCOE) and heat (LCOH)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Reduction of energy import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38</xdr:row>
          <xdr:rowOff>7620</xdr:rowOff>
        </xdr:from>
        <xdr:to>
          <xdr:col>4</xdr:col>
          <xdr:colOff>579120</xdr:colOff>
          <xdr:row>39</xdr:row>
          <xdr:rowOff>106680</xdr:rowOff>
        </xdr:to>
        <xdr:sp macro="" textlink="">
          <xdr:nvSpPr>
            <xdr:cNvPr id="1077" name="Check Box 53" descr=" Achieve levelized cost of electricity (LCOE) and heat (LCOH)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DHC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41</xdr:row>
          <xdr:rowOff>7620</xdr:rowOff>
        </xdr:from>
        <xdr:to>
          <xdr:col>4</xdr:col>
          <xdr:colOff>579120</xdr:colOff>
          <xdr:row>42</xdr:row>
          <xdr:rowOff>106680</xdr:rowOff>
        </xdr:to>
        <xdr:sp macro="" textlink="">
          <xdr:nvSpPr>
            <xdr:cNvPr id="1078" name="Check Box 54" descr=" Achieve levelized cost of electricity (LCOE) and heat (LCOH)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Increased share of cooling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44</xdr:row>
          <xdr:rowOff>7620</xdr:rowOff>
        </xdr:from>
        <xdr:to>
          <xdr:col>4</xdr:col>
          <xdr:colOff>579120</xdr:colOff>
          <xdr:row>45</xdr:row>
          <xdr:rowOff>106680</xdr:rowOff>
        </xdr:to>
        <xdr:sp macro="" textlink="">
          <xdr:nvSpPr>
            <xdr:cNvPr id="1079" name="Check Box 55" descr=" Achieve levelized cost of electricity (LCOE) and heat (LCOH)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Job creation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47</xdr:row>
          <xdr:rowOff>7620</xdr:rowOff>
        </xdr:from>
        <xdr:to>
          <xdr:col>4</xdr:col>
          <xdr:colOff>579120</xdr:colOff>
          <xdr:row>48</xdr:row>
          <xdr:rowOff>106680</xdr:rowOff>
        </xdr:to>
        <xdr:sp macro="" textlink="">
          <xdr:nvSpPr>
            <xdr:cNvPr id="1080" name="Check Box 56" descr=" Achieve levelized cost of electricity (LCOE) and heat (LCOH)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Reduce energy poverty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373380</xdr:colOff>
          <xdr:row>12</xdr:row>
          <xdr:rowOff>76200</xdr:rowOff>
        </xdr:from>
        <xdr:to>
          <xdr:col>16</xdr:col>
          <xdr:colOff>1242060</xdr:colOff>
          <xdr:row>16</xdr:row>
          <xdr:rowOff>76200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BE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cooling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408215</xdr:colOff>
      <xdr:row>17</xdr:row>
      <xdr:rowOff>117021</xdr:rowOff>
    </xdr:from>
    <xdr:to>
      <xdr:col>11</xdr:col>
      <xdr:colOff>707572</xdr:colOff>
      <xdr:row>20</xdr:row>
      <xdr:rowOff>117021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10844" y="3448050"/>
          <a:ext cx="3684814" cy="555171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510540</xdr:colOff>
          <xdr:row>330</xdr:row>
          <xdr:rowOff>7620</xdr:rowOff>
        </xdr:from>
        <xdr:to>
          <xdr:col>30</xdr:col>
          <xdr:colOff>441960</xdr:colOff>
          <xdr:row>334</xdr:row>
          <xdr:rowOff>175260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low temperature </a:t>
              </a:r>
            </a:p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space heating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609600</xdr:colOff>
          <xdr:row>329</xdr:row>
          <xdr:rowOff>45720</xdr:rowOff>
        </xdr:from>
        <xdr:to>
          <xdr:col>41</xdr:col>
          <xdr:colOff>434340</xdr:colOff>
          <xdr:row>334</xdr:row>
          <xdr:rowOff>76200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DHW </a:t>
              </a:r>
            </a:p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J640"/>
  <sheetViews>
    <sheetView showGridLines="0" tabSelected="1" topLeftCell="AJ286" zoomScale="70" zoomScaleNormal="70" workbookViewId="0">
      <selection activeCell="AZ245" sqref="AZ245"/>
    </sheetView>
  </sheetViews>
  <sheetFormatPr defaultRowHeight="14.4" x14ac:dyDescent="0.3"/>
  <cols>
    <col min="1" max="1" width="20.109375" bestFit="1" customWidth="1"/>
    <col min="2" max="2" width="10.77734375" style="1" customWidth="1"/>
    <col min="3" max="3" width="10.77734375" style="3" customWidth="1"/>
    <col min="4" max="4" width="10.77734375" customWidth="1"/>
    <col min="5" max="5" width="10.77734375" style="3" customWidth="1"/>
    <col min="6" max="6" width="10.77734375" customWidth="1"/>
    <col min="7" max="7" width="10.77734375" style="3" customWidth="1"/>
    <col min="8" max="8" width="10.77734375" customWidth="1"/>
    <col min="9" max="9" width="10.77734375" style="3" customWidth="1"/>
    <col min="10" max="10" width="10.77734375" style="57" customWidth="1"/>
    <col min="11" max="11" width="10.77734375" style="4" customWidth="1"/>
    <col min="12" max="12" width="12.77734375" style="4" customWidth="1"/>
    <col min="13" max="16" width="8.77734375" style="4" customWidth="1"/>
    <col min="17" max="17" width="20.21875" style="4" customWidth="1"/>
    <col min="18" max="20" width="8.77734375" style="4" customWidth="1"/>
    <col min="21" max="21" width="10.77734375" style="57" customWidth="1"/>
    <col min="22" max="22" width="10.77734375" style="4" customWidth="1"/>
    <col min="23" max="23" width="12.77734375" style="4" customWidth="1"/>
    <col min="24" max="31" width="8.77734375" style="4" customWidth="1"/>
    <col min="32" max="32" width="10.77734375" style="57" customWidth="1"/>
    <col min="33" max="33" width="10.77734375" style="4" customWidth="1"/>
    <col min="34" max="34" width="12.77734375" style="4" customWidth="1"/>
    <col min="35" max="40" width="9.6640625" style="4" customWidth="1"/>
    <col min="41" max="41" width="9.109375" style="4" customWidth="1"/>
    <col min="42" max="42" width="13.5546875" style="4" customWidth="1"/>
    <col min="43" max="43" width="9.6640625" style="57" customWidth="1"/>
    <col min="44" max="44" width="9.6640625" style="4" customWidth="1"/>
    <col min="45" max="45" width="20.44140625" style="4" customWidth="1"/>
    <col min="46" max="51" width="9.6640625" style="4" customWidth="1"/>
    <col min="52" max="52" width="9.88671875" style="4" customWidth="1"/>
    <col min="53" max="53" width="20.33203125" style="4" customWidth="1"/>
    <col min="54" max="54" width="9.6640625" style="57" customWidth="1"/>
    <col min="55" max="61" width="9.6640625" style="4" customWidth="1"/>
    <col min="63" max="63" width="28.109375" customWidth="1"/>
    <col min="65" max="65" width="16.33203125" bestFit="1" customWidth="1"/>
    <col min="68" max="68" width="0" hidden="1" customWidth="1"/>
    <col min="69" max="69" width="22.5546875" hidden="1" customWidth="1"/>
    <col min="70" max="72" width="9.109375" hidden="1" customWidth="1"/>
    <col min="73" max="73" width="20.109375" hidden="1" customWidth="1"/>
    <col min="75" max="75" width="25.33203125" customWidth="1"/>
    <col min="76" max="76" width="20.109375" bestFit="1" customWidth="1"/>
  </cols>
  <sheetData>
    <row r="1" spans="1:61" ht="25.8" x14ac:dyDescent="0.5">
      <c r="A1" s="71" t="s">
        <v>39</v>
      </c>
      <c r="C1" s="2"/>
      <c r="E1" s="2"/>
      <c r="G1" s="2"/>
      <c r="I1" s="2"/>
      <c r="M1" s="71" t="s">
        <v>40</v>
      </c>
      <c r="U1" s="4"/>
      <c r="AE1" s="57"/>
      <c r="AF1" s="4"/>
      <c r="AP1" s="57"/>
      <c r="AQ1" s="4"/>
      <c r="AX1"/>
      <c r="AY1"/>
      <c r="AZ1"/>
      <c r="BA1"/>
      <c r="BB1"/>
      <c r="BC1"/>
      <c r="BD1"/>
      <c r="BE1"/>
      <c r="BF1"/>
      <c r="BG1"/>
      <c r="BH1"/>
      <c r="BI1"/>
    </row>
    <row r="2" spans="1:61" ht="18" x14ac:dyDescent="0.35">
      <c r="B2" s="2"/>
      <c r="C2" s="2"/>
      <c r="E2" s="2"/>
      <c r="F2" s="78" t="s">
        <v>38</v>
      </c>
      <c r="I2" s="2"/>
      <c r="N2" s="72" t="s">
        <v>33</v>
      </c>
      <c r="U2" s="4"/>
      <c r="AE2" s="57"/>
      <c r="AF2" s="4"/>
      <c r="AP2" s="57"/>
      <c r="AQ2" s="4"/>
      <c r="AX2"/>
      <c r="AY2"/>
      <c r="AZ2"/>
      <c r="BA2"/>
      <c r="BB2"/>
      <c r="BC2"/>
      <c r="BD2"/>
      <c r="BE2"/>
      <c r="BF2"/>
      <c r="BG2"/>
      <c r="BH2"/>
      <c r="BI2"/>
    </row>
    <row r="3" spans="1:61" ht="15.6" x14ac:dyDescent="0.3">
      <c r="B3" s="2"/>
      <c r="C3" s="2"/>
      <c r="E3" s="2"/>
      <c r="F3" s="78">
        <v>10</v>
      </c>
      <c r="I3" s="2"/>
      <c r="U3" s="4"/>
      <c r="AE3" s="57"/>
      <c r="AF3" s="4"/>
      <c r="AP3" s="57"/>
      <c r="AQ3" s="4"/>
      <c r="AX3"/>
      <c r="AY3"/>
      <c r="AZ3"/>
      <c r="BA3"/>
      <c r="BB3"/>
      <c r="BC3"/>
      <c r="BD3"/>
      <c r="BE3"/>
      <c r="BF3"/>
      <c r="BG3"/>
      <c r="BH3"/>
      <c r="BI3"/>
    </row>
    <row r="4" spans="1:61" ht="15.6" x14ac:dyDescent="0.3">
      <c r="B4" s="2"/>
      <c r="C4" s="2"/>
      <c r="E4" s="2"/>
      <c r="F4" s="78"/>
      <c r="I4" s="2"/>
      <c r="U4" s="4"/>
      <c r="AE4" s="57"/>
      <c r="AF4" s="4"/>
      <c r="AP4" s="57"/>
      <c r="AQ4" s="4"/>
      <c r="AX4"/>
      <c r="AY4"/>
      <c r="AZ4"/>
      <c r="BA4"/>
      <c r="BB4"/>
      <c r="BC4"/>
      <c r="BD4"/>
      <c r="BE4"/>
      <c r="BF4"/>
      <c r="BG4"/>
      <c r="BH4"/>
      <c r="BI4"/>
    </row>
    <row r="5" spans="1:61" ht="15.6" x14ac:dyDescent="0.3">
      <c r="B5" s="2"/>
      <c r="C5" s="2"/>
      <c r="E5" s="2"/>
      <c r="F5" s="78"/>
      <c r="I5" s="2"/>
      <c r="U5" s="4"/>
      <c r="AE5" s="57"/>
      <c r="AF5" s="4"/>
      <c r="AP5" s="57"/>
      <c r="AQ5" s="4"/>
      <c r="AX5"/>
      <c r="AY5"/>
      <c r="AZ5"/>
      <c r="BA5"/>
      <c r="BB5"/>
      <c r="BC5"/>
      <c r="BD5"/>
      <c r="BE5"/>
      <c r="BF5"/>
      <c r="BG5"/>
      <c r="BH5"/>
      <c r="BI5"/>
    </row>
    <row r="6" spans="1:61" ht="15.6" x14ac:dyDescent="0.3">
      <c r="B6" s="2"/>
      <c r="C6" s="2"/>
      <c r="E6" s="2"/>
      <c r="F6" s="78">
        <v>0</v>
      </c>
      <c r="I6" s="2"/>
      <c r="U6" s="4"/>
      <c r="AE6" s="57"/>
      <c r="AF6" s="4"/>
      <c r="AP6" s="57"/>
      <c r="AQ6" s="4"/>
      <c r="AX6"/>
      <c r="AY6"/>
      <c r="AZ6"/>
      <c r="BA6"/>
      <c r="BB6"/>
      <c r="BC6"/>
      <c r="BD6"/>
      <c r="BE6"/>
      <c r="BF6"/>
      <c r="BG6"/>
      <c r="BH6"/>
      <c r="BI6"/>
    </row>
    <row r="7" spans="1:61" ht="15.6" x14ac:dyDescent="0.3">
      <c r="B7" s="2"/>
      <c r="C7" s="2"/>
      <c r="E7" s="2"/>
      <c r="F7" s="78"/>
      <c r="I7" s="2"/>
      <c r="U7" s="4"/>
      <c r="AE7" s="57"/>
      <c r="AF7" s="4"/>
      <c r="AP7" s="57"/>
      <c r="AQ7" s="4"/>
      <c r="AX7"/>
      <c r="AY7"/>
      <c r="AZ7"/>
      <c r="BA7"/>
      <c r="BB7"/>
      <c r="BC7"/>
      <c r="BD7"/>
      <c r="BE7"/>
      <c r="BF7"/>
      <c r="BG7"/>
      <c r="BH7"/>
      <c r="BI7"/>
    </row>
    <row r="8" spans="1:61" ht="15.6" x14ac:dyDescent="0.3">
      <c r="B8" s="2"/>
      <c r="C8" s="2"/>
      <c r="E8" s="2"/>
      <c r="F8" s="78"/>
      <c r="I8" s="2"/>
      <c r="U8" s="4"/>
      <c r="AE8" s="57"/>
      <c r="AF8" s="4"/>
      <c r="AP8" s="57"/>
      <c r="AQ8" s="4"/>
      <c r="AX8"/>
      <c r="AY8"/>
      <c r="AZ8"/>
      <c r="BA8"/>
      <c r="BB8"/>
      <c r="BC8"/>
      <c r="BD8"/>
      <c r="BE8"/>
      <c r="BF8"/>
      <c r="BG8"/>
      <c r="BH8"/>
      <c r="BI8"/>
    </row>
    <row r="9" spans="1:61" ht="15.6" x14ac:dyDescent="0.3">
      <c r="B9" s="2"/>
      <c r="C9" s="2"/>
      <c r="E9" s="2"/>
      <c r="F9" s="78">
        <v>10</v>
      </c>
      <c r="I9" s="2"/>
      <c r="U9" s="4"/>
      <c r="AE9" s="57"/>
      <c r="AF9" s="4"/>
      <c r="AP9" s="57"/>
      <c r="AQ9" s="4"/>
      <c r="AX9"/>
      <c r="AY9"/>
      <c r="AZ9"/>
      <c r="BA9"/>
      <c r="BB9"/>
      <c r="BC9"/>
      <c r="BD9"/>
      <c r="BE9"/>
      <c r="BF9"/>
      <c r="BG9"/>
      <c r="BH9"/>
      <c r="BI9"/>
    </row>
    <row r="10" spans="1:61" ht="15.6" x14ac:dyDescent="0.3">
      <c r="B10" s="2"/>
      <c r="C10" s="2"/>
      <c r="E10" s="2"/>
      <c r="F10" s="78"/>
      <c r="I10" s="2"/>
      <c r="U10" s="4"/>
      <c r="AE10" s="57"/>
      <c r="AF10" s="4"/>
      <c r="AP10" s="57"/>
      <c r="AQ10" s="4"/>
      <c r="AX10"/>
      <c r="AY10"/>
      <c r="AZ10"/>
      <c r="BA10"/>
      <c r="BB10"/>
      <c r="BC10"/>
      <c r="BD10"/>
      <c r="BE10"/>
      <c r="BF10"/>
      <c r="BG10"/>
      <c r="BH10"/>
      <c r="BI10"/>
    </row>
    <row r="11" spans="1:61" ht="15.6" x14ac:dyDescent="0.3">
      <c r="B11" s="2"/>
      <c r="C11" s="2"/>
      <c r="E11" s="2"/>
      <c r="F11" s="78"/>
      <c r="I11" s="2"/>
      <c r="U11" s="4"/>
      <c r="AE11" s="57"/>
      <c r="AF11" s="4"/>
      <c r="AP11" s="57"/>
      <c r="AQ11" s="4"/>
      <c r="AX11"/>
      <c r="AY11"/>
      <c r="AZ11"/>
      <c r="BA11"/>
      <c r="BB11"/>
      <c r="BC11"/>
      <c r="BD11"/>
      <c r="BE11"/>
      <c r="BF11"/>
      <c r="BG11"/>
      <c r="BH11"/>
      <c r="BI11"/>
    </row>
    <row r="12" spans="1:61" ht="15.6" x14ac:dyDescent="0.3">
      <c r="B12" s="2"/>
      <c r="C12" s="2"/>
      <c r="E12" s="2"/>
      <c r="F12" s="78">
        <v>2</v>
      </c>
      <c r="I12" s="2"/>
      <c r="U12" s="4"/>
      <c r="AE12" s="57"/>
      <c r="AF12" s="4"/>
      <c r="AP12" s="57"/>
      <c r="AQ12" s="4"/>
      <c r="AX12"/>
      <c r="AY12"/>
      <c r="AZ12"/>
      <c r="BA12"/>
      <c r="BB12"/>
      <c r="BC12"/>
      <c r="BD12"/>
      <c r="BE12"/>
      <c r="BF12"/>
      <c r="BG12"/>
      <c r="BH12"/>
      <c r="BI12"/>
    </row>
    <row r="13" spans="1:61" ht="15.6" x14ac:dyDescent="0.3">
      <c r="B13" s="2"/>
      <c r="C13" s="2"/>
      <c r="E13" s="2"/>
      <c r="F13" s="78"/>
      <c r="I13" s="2"/>
      <c r="U13" s="4"/>
      <c r="AE13" s="57"/>
      <c r="AF13" s="4"/>
      <c r="AP13" s="57"/>
      <c r="AQ13" s="4"/>
      <c r="AX13"/>
      <c r="AY13"/>
      <c r="AZ13"/>
      <c r="BA13"/>
      <c r="BB13"/>
      <c r="BC13"/>
      <c r="BD13"/>
      <c r="BE13"/>
      <c r="BF13"/>
      <c r="BG13"/>
      <c r="BH13"/>
      <c r="BI13"/>
    </row>
    <row r="14" spans="1:61" ht="15.6" x14ac:dyDescent="0.3">
      <c r="B14" s="2"/>
      <c r="C14" s="2"/>
      <c r="E14" s="2"/>
      <c r="F14" s="78"/>
      <c r="I14" s="2"/>
      <c r="U14" s="4"/>
      <c r="AE14" s="57"/>
      <c r="AF14" s="4"/>
      <c r="AP14" s="57"/>
      <c r="AQ14" s="4"/>
      <c r="AX14"/>
      <c r="AY14"/>
      <c r="AZ14"/>
      <c r="BA14"/>
      <c r="BB14"/>
      <c r="BC14"/>
      <c r="BD14"/>
      <c r="BE14"/>
      <c r="BF14"/>
      <c r="BG14"/>
      <c r="BH14"/>
      <c r="BI14"/>
    </row>
    <row r="15" spans="1:61" ht="15.6" x14ac:dyDescent="0.3">
      <c r="B15" s="2"/>
      <c r="C15" s="2"/>
      <c r="E15" s="2"/>
      <c r="F15" s="78">
        <v>5</v>
      </c>
      <c r="I15" s="2"/>
      <c r="U15" s="4"/>
      <c r="AE15" s="57"/>
      <c r="AF15" s="4"/>
      <c r="AP15" s="57"/>
      <c r="AQ15" s="4"/>
      <c r="AX15"/>
      <c r="AY15"/>
      <c r="AZ15"/>
      <c r="BA15"/>
      <c r="BB15"/>
      <c r="BC15"/>
      <c r="BD15"/>
      <c r="BE15"/>
      <c r="BF15"/>
      <c r="BG15"/>
      <c r="BH15"/>
      <c r="BI15"/>
    </row>
    <row r="16" spans="1:61" ht="15.6" x14ac:dyDescent="0.3">
      <c r="B16" s="2"/>
      <c r="C16" s="2"/>
      <c r="E16" s="2"/>
      <c r="F16" s="78"/>
      <c r="I16" s="2"/>
      <c r="U16" s="4"/>
      <c r="AE16" s="57"/>
      <c r="AF16" s="4"/>
      <c r="AP16" s="57"/>
      <c r="AQ16" s="4"/>
      <c r="AX16"/>
      <c r="AY16"/>
      <c r="AZ16"/>
      <c r="BA16"/>
      <c r="BB16"/>
      <c r="BC16"/>
      <c r="BD16"/>
      <c r="BE16"/>
      <c r="BF16"/>
      <c r="BG16"/>
      <c r="BH16"/>
      <c r="BI16"/>
    </row>
    <row r="17" spans="2:61" ht="15.6" x14ac:dyDescent="0.3">
      <c r="B17" s="2"/>
      <c r="C17" s="2"/>
      <c r="E17" s="2"/>
      <c r="F17" s="78"/>
      <c r="I17" s="2"/>
      <c r="U17" s="4"/>
      <c r="AE17" s="57"/>
      <c r="AF17" s="4"/>
      <c r="AP17" s="57"/>
      <c r="AQ17" s="4"/>
      <c r="AX17"/>
      <c r="AY17"/>
      <c r="AZ17"/>
      <c r="BA17"/>
      <c r="BB17"/>
      <c r="BC17"/>
      <c r="BD17"/>
      <c r="BE17"/>
      <c r="BF17"/>
      <c r="BG17"/>
      <c r="BH17"/>
      <c r="BI17"/>
    </row>
    <row r="18" spans="2:61" ht="15.6" x14ac:dyDescent="0.3">
      <c r="B18" s="2"/>
      <c r="C18" s="2"/>
      <c r="E18" s="2"/>
      <c r="F18" s="78">
        <v>7</v>
      </c>
      <c r="I18" s="2"/>
      <c r="U18" s="4"/>
      <c r="AE18" s="57"/>
      <c r="AF18" s="4"/>
      <c r="AP18" s="57"/>
      <c r="AQ18" s="4"/>
      <c r="AX18"/>
      <c r="AY18"/>
      <c r="AZ18"/>
      <c r="BA18"/>
      <c r="BB18"/>
      <c r="BC18"/>
      <c r="BD18"/>
      <c r="BE18"/>
      <c r="BF18"/>
      <c r="BG18"/>
      <c r="BH18"/>
      <c r="BI18"/>
    </row>
    <row r="19" spans="2:61" ht="15.6" x14ac:dyDescent="0.3">
      <c r="B19" s="2"/>
      <c r="C19" s="2"/>
      <c r="E19" s="2"/>
      <c r="F19" s="78"/>
      <c r="I19" s="2"/>
      <c r="U19" s="4"/>
      <c r="AE19" s="57"/>
      <c r="AF19" s="4"/>
      <c r="AP19" s="57"/>
      <c r="AQ19" s="4"/>
      <c r="AX19"/>
      <c r="AY19"/>
      <c r="AZ19"/>
      <c r="BA19"/>
      <c r="BB19"/>
      <c r="BC19"/>
      <c r="BD19"/>
      <c r="BE19"/>
      <c r="BF19"/>
      <c r="BG19"/>
      <c r="BH19"/>
      <c r="BI19"/>
    </row>
    <row r="20" spans="2:61" ht="18" x14ac:dyDescent="0.35">
      <c r="B20" s="2"/>
      <c r="C20" s="2"/>
      <c r="E20" s="2"/>
      <c r="F20" s="78"/>
      <c r="I20" s="2"/>
      <c r="M20" s="79" t="s">
        <v>20</v>
      </c>
      <c r="N20" s="80">
        <v>832</v>
      </c>
      <c r="Q20" s="36" t="s">
        <v>17</v>
      </c>
      <c r="R20" s="66">
        <v>213</v>
      </c>
      <c r="U20" s="4"/>
      <c r="AE20" s="57"/>
      <c r="AF20" s="4"/>
      <c r="AP20" s="57"/>
      <c r="AQ20" s="4"/>
      <c r="AX20"/>
      <c r="AY20"/>
      <c r="AZ20"/>
      <c r="BA20"/>
      <c r="BB20"/>
      <c r="BC20"/>
      <c r="BD20"/>
      <c r="BE20"/>
      <c r="BF20"/>
      <c r="BG20"/>
      <c r="BH20"/>
      <c r="BI20"/>
    </row>
    <row r="21" spans="2:61" ht="18" x14ac:dyDescent="0.35">
      <c r="B21" s="2"/>
      <c r="C21" s="2"/>
      <c r="E21" s="2"/>
      <c r="F21" s="78">
        <v>0</v>
      </c>
      <c r="I21" s="2"/>
      <c r="M21" s="81" t="s">
        <v>1</v>
      </c>
      <c r="N21" s="82">
        <v>690</v>
      </c>
      <c r="Q21" s="1" t="s">
        <v>12</v>
      </c>
      <c r="R21" s="46">
        <v>213</v>
      </c>
      <c r="U21" s="4"/>
      <c r="AE21" s="57"/>
      <c r="AF21" s="4"/>
      <c r="AP21" s="57"/>
      <c r="AQ21" s="4"/>
      <c r="AX21"/>
      <c r="AY21"/>
      <c r="AZ21"/>
      <c r="BA21"/>
      <c r="BB21"/>
      <c r="BC21"/>
      <c r="BD21"/>
      <c r="BE21"/>
      <c r="BF21"/>
      <c r="BG21"/>
      <c r="BH21"/>
      <c r="BI21"/>
    </row>
    <row r="22" spans="2:61" ht="18" x14ac:dyDescent="0.35">
      <c r="B22" s="2"/>
      <c r="C22" s="2"/>
      <c r="E22" s="2"/>
      <c r="F22" s="78"/>
      <c r="I22" s="2"/>
      <c r="M22" s="81" t="s">
        <v>34</v>
      </c>
      <c r="N22" s="82">
        <v>659</v>
      </c>
      <c r="Q22" s="1" t="s">
        <v>36</v>
      </c>
      <c r="R22" s="46">
        <v>207</v>
      </c>
      <c r="U22" s="4"/>
      <c r="AE22" s="57"/>
      <c r="AF22" s="4"/>
      <c r="AP22" s="57"/>
      <c r="AQ22" s="4"/>
      <c r="AX22"/>
      <c r="AY22"/>
      <c r="AZ22"/>
      <c r="BA22"/>
      <c r="BB22"/>
      <c r="BC22"/>
      <c r="BD22"/>
      <c r="BE22"/>
      <c r="BF22"/>
      <c r="BG22"/>
      <c r="BH22"/>
      <c r="BI22"/>
    </row>
    <row r="23" spans="2:61" ht="18" x14ac:dyDescent="0.35">
      <c r="B23" s="2"/>
      <c r="C23" s="2"/>
      <c r="E23" s="2"/>
      <c r="F23" s="78"/>
      <c r="I23" s="2"/>
      <c r="M23" s="81" t="s">
        <v>4</v>
      </c>
      <c r="N23" s="82">
        <v>652</v>
      </c>
      <c r="Q23" s="1" t="s">
        <v>4</v>
      </c>
      <c r="R23" s="46">
        <v>0</v>
      </c>
      <c r="U23" s="4"/>
      <c r="AE23" s="57"/>
      <c r="AF23" s="4"/>
      <c r="AP23" s="57"/>
      <c r="AQ23" s="4"/>
      <c r="AX23"/>
      <c r="AY23"/>
      <c r="AZ23"/>
      <c r="BA23"/>
      <c r="BB23"/>
      <c r="BC23"/>
      <c r="BD23"/>
      <c r="BE23"/>
      <c r="BF23"/>
      <c r="BG23"/>
      <c r="BH23"/>
      <c r="BI23"/>
    </row>
    <row r="24" spans="2:61" ht="18" x14ac:dyDescent="0.35">
      <c r="B24" s="2"/>
      <c r="C24" s="2"/>
      <c r="E24" s="2"/>
      <c r="F24" s="78">
        <v>5</v>
      </c>
      <c r="I24" s="2"/>
      <c r="M24" s="81" t="s">
        <v>3</v>
      </c>
      <c r="N24" s="82">
        <v>620</v>
      </c>
      <c r="Q24" s="1" t="s">
        <v>5</v>
      </c>
      <c r="R24" s="46">
        <v>0</v>
      </c>
      <c r="U24" s="4"/>
      <c r="AE24" s="57"/>
      <c r="AF24" s="4"/>
      <c r="AP24" s="57"/>
      <c r="AQ24" s="4"/>
      <c r="AX24"/>
      <c r="AY24"/>
      <c r="AZ24"/>
      <c r="BA24"/>
      <c r="BB24"/>
      <c r="BC24"/>
      <c r="BD24"/>
      <c r="BE24"/>
      <c r="BF24"/>
      <c r="BG24"/>
      <c r="BH24"/>
      <c r="BI24"/>
    </row>
    <row r="25" spans="2:61" ht="18" x14ac:dyDescent="0.35">
      <c r="B25" s="2"/>
      <c r="C25" s="2"/>
      <c r="E25" s="2"/>
      <c r="F25" s="78"/>
      <c r="I25" s="2"/>
      <c r="M25" s="81" t="s">
        <v>2</v>
      </c>
      <c r="N25" s="82">
        <v>604</v>
      </c>
      <c r="Q25" s="1" t="s">
        <v>6</v>
      </c>
      <c r="R25" s="46">
        <v>0</v>
      </c>
      <c r="U25" s="4"/>
      <c r="AE25" s="57"/>
      <c r="AF25" s="4"/>
      <c r="AP25" s="57"/>
      <c r="AQ25" s="4"/>
      <c r="AX25"/>
      <c r="AY25"/>
      <c r="AZ25"/>
      <c r="BA25"/>
      <c r="BB25"/>
      <c r="BC25"/>
      <c r="BD25"/>
      <c r="BE25"/>
      <c r="BF25"/>
      <c r="BG25"/>
      <c r="BH25"/>
      <c r="BI25"/>
    </row>
    <row r="26" spans="2:61" ht="18" x14ac:dyDescent="0.35">
      <c r="B26" s="2"/>
      <c r="C26" s="2"/>
      <c r="E26" s="2"/>
      <c r="F26" s="78"/>
      <c r="I26" s="2"/>
      <c r="M26" s="81" t="s">
        <v>35</v>
      </c>
      <c r="N26" s="82">
        <v>600</v>
      </c>
      <c r="Q26" s="1" t="s">
        <v>1</v>
      </c>
      <c r="R26" s="46">
        <v>0</v>
      </c>
      <c r="U26" s="4"/>
      <c r="AE26" s="57"/>
      <c r="AF26" s="4"/>
      <c r="AP26" s="57"/>
      <c r="AQ26" s="4"/>
      <c r="AX26"/>
      <c r="AY26"/>
      <c r="AZ26"/>
      <c r="BA26"/>
      <c r="BB26"/>
      <c r="BC26"/>
      <c r="BD26"/>
      <c r="BE26"/>
      <c r="BF26"/>
      <c r="BG26"/>
      <c r="BH26"/>
      <c r="BI26"/>
    </row>
    <row r="27" spans="2:61" ht="18" x14ac:dyDescent="0.35">
      <c r="B27" s="2"/>
      <c r="C27" s="2"/>
      <c r="E27" s="2"/>
      <c r="F27" s="78">
        <v>4</v>
      </c>
      <c r="I27" s="2"/>
      <c r="M27" s="81" t="s">
        <v>12</v>
      </c>
      <c r="N27" s="82">
        <v>590</v>
      </c>
      <c r="Q27" s="1" t="s">
        <v>16</v>
      </c>
      <c r="R27" s="46">
        <v>0</v>
      </c>
      <c r="U27" s="4"/>
      <c r="AE27" s="57"/>
      <c r="AF27" s="4"/>
      <c r="AP27" s="57"/>
      <c r="AQ27" s="4"/>
      <c r="AX27"/>
      <c r="AY27"/>
      <c r="AZ27"/>
      <c r="BA27"/>
      <c r="BB27"/>
      <c r="BC27"/>
      <c r="BD27"/>
      <c r="BE27"/>
      <c r="BF27"/>
      <c r="BG27"/>
      <c r="BH27"/>
      <c r="BI27"/>
    </row>
    <row r="28" spans="2:61" ht="18" x14ac:dyDescent="0.35">
      <c r="B28" s="2"/>
      <c r="C28" s="2"/>
      <c r="E28" s="2"/>
      <c r="F28" s="78"/>
      <c r="I28" s="2"/>
      <c r="M28" s="81" t="s">
        <v>5</v>
      </c>
      <c r="N28" s="82">
        <v>564</v>
      </c>
      <c r="Q28" s="1" t="s">
        <v>2</v>
      </c>
      <c r="R28" s="46">
        <v>0</v>
      </c>
    </row>
    <row r="29" spans="2:61" ht="18" x14ac:dyDescent="0.35">
      <c r="B29" s="2"/>
      <c r="C29" s="2"/>
      <c r="E29" s="2"/>
      <c r="F29" s="78"/>
      <c r="I29" s="2"/>
      <c r="M29" s="83" t="s">
        <v>6</v>
      </c>
      <c r="N29" s="84">
        <v>536</v>
      </c>
      <c r="Q29" s="13" t="s">
        <v>20</v>
      </c>
      <c r="R29" s="68">
        <v>0</v>
      </c>
    </row>
    <row r="30" spans="2:61" ht="15.6" x14ac:dyDescent="0.3">
      <c r="B30" s="2"/>
      <c r="C30" s="2"/>
      <c r="E30" s="2"/>
      <c r="F30" s="78">
        <v>0</v>
      </c>
      <c r="I30" s="2"/>
    </row>
    <row r="31" spans="2:61" ht="15.6" x14ac:dyDescent="0.3">
      <c r="B31" s="2"/>
      <c r="C31" s="2"/>
      <c r="E31" s="2"/>
      <c r="F31" s="78"/>
      <c r="I31" s="2"/>
    </row>
    <row r="32" spans="2:61" ht="15.6" x14ac:dyDescent="0.3">
      <c r="B32" s="2"/>
      <c r="C32" s="2"/>
      <c r="E32" s="2"/>
      <c r="F32" s="78"/>
      <c r="I32" s="2"/>
    </row>
    <row r="33" spans="2:9" ht="15.6" x14ac:dyDescent="0.3">
      <c r="B33" s="2"/>
      <c r="C33" s="2"/>
      <c r="E33" s="2"/>
      <c r="F33" s="78">
        <v>3</v>
      </c>
      <c r="I33" s="2"/>
    </row>
    <row r="34" spans="2:9" ht="15.6" x14ac:dyDescent="0.3">
      <c r="B34" s="2"/>
      <c r="C34" s="2"/>
      <c r="E34" s="2"/>
      <c r="F34" s="78"/>
      <c r="I34" s="2"/>
    </row>
    <row r="35" spans="2:9" ht="15.6" x14ac:dyDescent="0.3">
      <c r="B35" s="2"/>
      <c r="C35" s="2"/>
      <c r="E35" s="2"/>
      <c r="F35" s="78"/>
      <c r="I35" s="2"/>
    </row>
    <row r="36" spans="2:9" ht="15.6" x14ac:dyDescent="0.3">
      <c r="B36" s="2"/>
      <c r="C36" s="2"/>
      <c r="E36" s="2"/>
      <c r="F36" s="78">
        <v>0</v>
      </c>
      <c r="I36" s="2"/>
    </row>
    <row r="37" spans="2:9" ht="15.6" x14ac:dyDescent="0.3">
      <c r="B37" s="2"/>
      <c r="C37" s="2"/>
      <c r="E37" s="2"/>
      <c r="F37" s="78"/>
      <c r="I37" s="2"/>
    </row>
    <row r="38" spans="2:9" ht="15.6" x14ac:dyDescent="0.3">
      <c r="B38" s="2"/>
      <c r="C38" s="2"/>
      <c r="E38" s="2"/>
      <c r="F38" s="78"/>
      <c r="I38" s="2"/>
    </row>
    <row r="39" spans="2:9" ht="15.6" x14ac:dyDescent="0.3">
      <c r="B39" s="2"/>
      <c r="C39" s="2"/>
      <c r="E39" s="2"/>
      <c r="F39" s="78">
        <v>0</v>
      </c>
      <c r="I39" s="2"/>
    </row>
    <row r="40" spans="2:9" ht="15.6" x14ac:dyDescent="0.3">
      <c r="B40" s="2"/>
      <c r="C40" s="2"/>
      <c r="E40" s="2"/>
      <c r="F40" s="78"/>
      <c r="I40" s="2"/>
    </row>
    <row r="41" spans="2:9" ht="15.6" x14ac:dyDescent="0.3">
      <c r="B41" s="2"/>
      <c r="C41" s="2"/>
      <c r="E41" s="2"/>
      <c r="F41" s="78"/>
      <c r="I41" s="2"/>
    </row>
    <row r="42" spans="2:9" ht="15.6" x14ac:dyDescent="0.3">
      <c r="B42" s="2"/>
      <c r="C42" s="2"/>
      <c r="E42" s="2"/>
      <c r="F42" s="78">
        <v>0</v>
      </c>
      <c r="I42" s="2"/>
    </row>
    <row r="43" spans="2:9" ht="15.6" x14ac:dyDescent="0.3">
      <c r="B43" s="2"/>
      <c r="C43" s="2"/>
      <c r="E43" s="2"/>
      <c r="F43" s="78"/>
      <c r="I43" s="2"/>
    </row>
    <row r="44" spans="2:9" ht="15.6" x14ac:dyDescent="0.3">
      <c r="B44" s="2"/>
      <c r="C44" s="2"/>
      <c r="E44" s="2"/>
      <c r="F44" s="78"/>
      <c r="I44" s="2"/>
    </row>
    <row r="45" spans="2:9" ht="15.6" x14ac:dyDescent="0.3">
      <c r="B45" s="2"/>
      <c r="C45" s="2"/>
      <c r="E45" s="2"/>
      <c r="F45" s="78">
        <v>0</v>
      </c>
      <c r="I45" s="2"/>
    </row>
    <row r="46" spans="2:9" ht="15.6" x14ac:dyDescent="0.3">
      <c r="B46" s="2"/>
      <c r="C46" s="2"/>
      <c r="E46" s="2"/>
      <c r="F46" s="78"/>
      <c r="I46" s="2"/>
    </row>
    <row r="47" spans="2:9" ht="15.6" x14ac:dyDescent="0.3">
      <c r="B47" s="2"/>
      <c r="C47" s="2"/>
      <c r="E47" s="2"/>
      <c r="F47" s="78"/>
      <c r="I47" s="2"/>
    </row>
    <row r="48" spans="2:9" ht="15.6" x14ac:dyDescent="0.3">
      <c r="B48" s="2"/>
      <c r="C48" s="2"/>
      <c r="E48" s="2"/>
      <c r="F48" s="78">
        <v>0</v>
      </c>
      <c r="I48" s="2"/>
    </row>
    <row r="49" spans="1:88" x14ac:dyDescent="0.3">
      <c r="B49" s="2"/>
      <c r="C49" s="2"/>
      <c r="E49" s="2"/>
      <c r="F49" s="39"/>
      <c r="G49" s="2"/>
      <c r="I49" s="2"/>
    </row>
    <row r="50" spans="1:88" x14ac:dyDescent="0.3">
      <c r="B50" s="2"/>
      <c r="C50" s="2"/>
      <c r="E50" s="2"/>
      <c r="G50" s="2"/>
      <c r="I50" s="2"/>
    </row>
    <row r="51" spans="1:88" x14ac:dyDescent="0.3">
      <c r="B51" s="2"/>
      <c r="C51" s="2"/>
      <c r="E51" s="2"/>
      <c r="G51" s="2"/>
      <c r="I51" s="2"/>
    </row>
    <row r="52" spans="1:88" x14ac:dyDescent="0.3">
      <c r="B52" s="2"/>
      <c r="C52" s="2"/>
      <c r="E52" s="2"/>
      <c r="G52" s="2"/>
      <c r="I52" s="2"/>
    </row>
    <row r="53" spans="1:88" ht="15" thickBot="1" x14ac:dyDescent="0.35">
      <c r="A53" s="75"/>
      <c r="B53" s="75"/>
      <c r="C53" s="75"/>
      <c r="D53" s="75"/>
      <c r="E53" s="75" t="s">
        <v>37</v>
      </c>
      <c r="F53" s="75"/>
      <c r="G53" s="75"/>
      <c r="H53" s="75"/>
      <c r="I53" s="75"/>
      <c r="J53" s="76"/>
      <c r="K53" s="75" t="s">
        <v>37</v>
      </c>
      <c r="L53" s="77"/>
      <c r="M53" s="77"/>
      <c r="N53" s="77"/>
      <c r="O53" s="77"/>
      <c r="P53" s="77"/>
      <c r="Q53" s="75" t="s">
        <v>37</v>
      </c>
      <c r="R53" s="77"/>
      <c r="S53" s="77"/>
      <c r="T53" s="77"/>
      <c r="U53" s="75" t="s">
        <v>37</v>
      </c>
      <c r="V53" s="77"/>
      <c r="W53" s="77"/>
      <c r="X53" s="77"/>
      <c r="Y53" s="77"/>
      <c r="Z53" s="77"/>
      <c r="AA53" s="77"/>
      <c r="AB53" s="75" t="s">
        <v>37</v>
      </c>
      <c r="AC53" s="77"/>
      <c r="AD53" s="77"/>
      <c r="AE53" s="77"/>
      <c r="AF53" s="76"/>
      <c r="AG53" s="77"/>
      <c r="AH53" s="75" t="s">
        <v>37</v>
      </c>
      <c r="AI53" s="77"/>
      <c r="AJ53" s="77"/>
      <c r="AK53" s="77"/>
      <c r="AL53" s="77"/>
      <c r="AM53" s="77"/>
      <c r="AN53" s="77"/>
      <c r="AO53" s="77"/>
      <c r="AP53" s="75" t="s">
        <v>37</v>
      </c>
      <c r="AQ53" s="76"/>
      <c r="AR53" s="77"/>
      <c r="AS53" s="77"/>
      <c r="AT53" s="77"/>
      <c r="AU53" s="77"/>
      <c r="AV53" s="75" t="s">
        <v>37</v>
      </c>
      <c r="AW53" s="77"/>
      <c r="AX53" s="77"/>
      <c r="AY53" s="77"/>
      <c r="AZ53" s="77"/>
      <c r="BA53" s="77"/>
      <c r="BB53" s="76"/>
      <c r="BC53" s="77"/>
      <c r="BD53" s="75" t="s">
        <v>37</v>
      </c>
      <c r="BE53" s="77"/>
      <c r="BF53" s="77"/>
    </row>
    <row r="54" spans="1:88" ht="18.600000000000001" thickTop="1" x14ac:dyDescent="0.35">
      <c r="B54" s="45" t="s">
        <v>21</v>
      </c>
      <c r="C54" s="2"/>
      <c r="E54" s="2"/>
      <c r="G54" s="2"/>
      <c r="I54" s="2"/>
      <c r="M54" s="45" t="s">
        <v>22</v>
      </c>
      <c r="X54" s="45" t="s">
        <v>23</v>
      </c>
      <c r="AI54" s="45" t="s">
        <v>24</v>
      </c>
      <c r="AT54" s="45" t="s">
        <v>25</v>
      </c>
    </row>
    <row r="55" spans="1:88" x14ac:dyDescent="0.3">
      <c r="B55" s="2"/>
      <c r="C55" s="2"/>
      <c r="E55" s="2"/>
      <c r="G55" s="2"/>
      <c r="I55" s="2"/>
    </row>
    <row r="56" spans="1:88" x14ac:dyDescent="0.3">
      <c r="A56" s="2" t="s">
        <v>19</v>
      </c>
      <c r="B56" s="2"/>
      <c r="C56" s="2"/>
      <c r="D56" s="2"/>
      <c r="E56" s="2"/>
      <c r="F56" s="2"/>
      <c r="G56" s="2"/>
      <c r="H56" s="2"/>
      <c r="I56" s="2" t="s">
        <v>26</v>
      </c>
    </row>
    <row r="57" spans="1:88" x14ac:dyDescent="0.3">
      <c r="A57" s="2" t="b">
        <v>1</v>
      </c>
      <c r="B57" s="2"/>
      <c r="C57" s="2"/>
      <c r="D57" s="2"/>
      <c r="E57" s="2"/>
      <c r="F57" s="2"/>
      <c r="G57" s="2"/>
      <c r="H57" s="2"/>
      <c r="I57" s="2">
        <f>F3</f>
        <v>10</v>
      </c>
    </row>
    <row r="58" spans="1:88" x14ac:dyDescent="0.3">
      <c r="A58" s="2"/>
      <c r="B58" s="2"/>
      <c r="C58" s="2"/>
      <c r="D58" s="2"/>
      <c r="E58" s="2"/>
      <c r="F58" s="2"/>
      <c r="G58" s="2"/>
      <c r="H58" s="2"/>
      <c r="I58" s="2"/>
    </row>
    <row r="59" spans="1:88" x14ac:dyDescent="0.3">
      <c r="A59" s="10" t="s">
        <v>14</v>
      </c>
      <c r="B59" s="85" t="s">
        <v>7</v>
      </c>
      <c r="C59" s="86"/>
      <c r="D59" s="85" t="s">
        <v>10</v>
      </c>
      <c r="E59" s="86"/>
      <c r="F59" s="87" t="s">
        <v>11</v>
      </c>
      <c r="G59" s="86"/>
      <c r="H59" s="85" t="s">
        <v>13</v>
      </c>
      <c r="I59" s="86"/>
      <c r="J59" s="58"/>
      <c r="K59" s="42"/>
      <c r="L59" s="10" t="s">
        <v>14</v>
      </c>
      <c r="M59" s="85" t="s">
        <v>7</v>
      </c>
      <c r="N59" s="86"/>
      <c r="O59" s="85" t="s">
        <v>10</v>
      </c>
      <c r="P59" s="86"/>
      <c r="Q59" s="87" t="s">
        <v>11</v>
      </c>
      <c r="R59" s="86"/>
      <c r="S59" s="85" t="s">
        <v>13</v>
      </c>
      <c r="T59" s="86"/>
      <c r="U59" s="58"/>
      <c r="V59" s="42"/>
      <c r="W59" s="10" t="s">
        <v>14</v>
      </c>
      <c r="X59" s="85" t="s">
        <v>7</v>
      </c>
      <c r="Y59" s="86"/>
      <c r="Z59" s="85" t="s">
        <v>10</v>
      </c>
      <c r="AA59" s="86"/>
      <c r="AB59" s="87" t="s">
        <v>11</v>
      </c>
      <c r="AC59" s="86"/>
      <c r="AD59" s="85" t="s">
        <v>13</v>
      </c>
      <c r="AE59" s="86"/>
      <c r="AF59" s="58"/>
      <c r="AG59" s="42"/>
      <c r="AH59" s="10" t="s">
        <v>14</v>
      </c>
      <c r="AI59" s="85" t="s">
        <v>7</v>
      </c>
      <c r="AJ59" s="86"/>
      <c r="AK59" s="85" t="s">
        <v>10</v>
      </c>
      <c r="AL59" s="86"/>
      <c r="AM59" s="87" t="s">
        <v>11</v>
      </c>
      <c r="AN59" s="86"/>
      <c r="AO59" s="85" t="s">
        <v>13</v>
      </c>
      <c r="AP59" s="86"/>
      <c r="AQ59" s="58"/>
      <c r="AR59" s="42"/>
      <c r="AS59" s="10" t="s">
        <v>14</v>
      </c>
      <c r="AT59" s="85" t="s">
        <v>7</v>
      </c>
      <c r="AU59" s="86"/>
      <c r="AV59" s="85" t="s">
        <v>10</v>
      </c>
      <c r="AW59" s="86"/>
      <c r="AX59" s="87" t="s">
        <v>11</v>
      </c>
      <c r="AY59" s="86"/>
      <c r="AZ59" s="85" t="s">
        <v>13</v>
      </c>
      <c r="BA59" s="86"/>
      <c r="BB59" s="58"/>
      <c r="BC59" s="42"/>
      <c r="BD59" s="42"/>
      <c r="BE59" s="42"/>
      <c r="BF59" s="42"/>
      <c r="BG59" s="42"/>
      <c r="BH59" s="42"/>
      <c r="BI59" s="42"/>
      <c r="CJ59" s="39"/>
    </row>
    <row r="60" spans="1:88" ht="15" thickBot="1" x14ac:dyDescent="0.35">
      <c r="A60" s="11" t="s">
        <v>0</v>
      </c>
      <c r="B60" s="5" t="s">
        <v>8</v>
      </c>
      <c r="C60" s="6" t="s">
        <v>9</v>
      </c>
      <c r="D60" s="7" t="s">
        <v>8</v>
      </c>
      <c r="E60" s="6" t="s">
        <v>9</v>
      </c>
      <c r="F60" s="7" t="s">
        <v>8</v>
      </c>
      <c r="G60" s="6" t="s">
        <v>9</v>
      </c>
      <c r="H60" s="7" t="s">
        <v>8</v>
      </c>
      <c r="I60" s="6" t="s">
        <v>9</v>
      </c>
      <c r="J60" s="59"/>
      <c r="K60" s="43"/>
      <c r="L60" s="11" t="s">
        <v>0</v>
      </c>
      <c r="M60" s="5" t="s">
        <v>8</v>
      </c>
      <c r="N60" s="6" t="s">
        <v>9</v>
      </c>
      <c r="O60" s="7" t="s">
        <v>8</v>
      </c>
      <c r="P60" s="6" t="s">
        <v>9</v>
      </c>
      <c r="Q60" s="7" t="s">
        <v>8</v>
      </c>
      <c r="R60" s="6" t="s">
        <v>9</v>
      </c>
      <c r="S60" s="7" t="s">
        <v>8</v>
      </c>
      <c r="T60" s="6" t="s">
        <v>9</v>
      </c>
      <c r="U60" s="59"/>
      <c r="V60" s="43"/>
      <c r="W60" s="11" t="s">
        <v>0</v>
      </c>
      <c r="X60" s="5" t="s">
        <v>8</v>
      </c>
      <c r="Y60" s="6" t="s">
        <v>9</v>
      </c>
      <c r="Z60" s="7" t="s">
        <v>8</v>
      </c>
      <c r="AA60" s="6" t="s">
        <v>9</v>
      </c>
      <c r="AB60" s="7" t="s">
        <v>8</v>
      </c>
      <c r="AC60" s="6" t="s">
        <v>9</v>
      </c>
      <c r="AD60" s="7" t="s">
        <v>8</v>
      </c>
      <c r="AE60" s="6" t="s">
        <v>9</v>
      </c>
      <c r="AF60" s="59"/>
      <c r="AG60" s="43"/>
      <c r="AH60" s="11" t="s">
        <v>0</v>
      </c>
      <c r="AI60" s="5" t="s">
        <v>8</v>
      </c>
      <c r="AJ60" s="6" t="s">
        <v>9</v>
      </c>
      <c r="AK60" s="7" t="s">
        <v>8</v>
      </c>
      <c r="AL60" s="6" t="s">
        <v>9</v>
      </c>
      <c r="AM60" s="7" t="s">
        <v>8</v>
      </c>
      <c r="AN60" s="6" t="s">
        <v>9</v>
      </c>
      <c r="AO60" s="7" t="s">
        <v>8</v>
      </c>
      <c r="AP60" s="6" t="s">
        <v>9</v>
      </c>
      <c r="AQ60" s="59"/>
      <c r="AR60" s="43"/>
      <c r="AS60" s="11" t="s">
        <v>0</v>
      </c>
      <c r="AT60" s="5" t="s">
        <v>8</v>
      </c>
      <c r="AU60" s="6" t="s">
        <v>9</v>
      </c>
      <c r="AV60" s="7" t="s">
        <v>8</v>
      </c>
      <c r="AW60" s="6" t="s">
        <v>9</v>
      </c>
      <c r="AX60" s="7" t="s">
        <v>8</v>
      </c>
      <c r="AY60" s="6" t="s">
        <v>9</v>
      </c>
      <c r="AZ60" s="7" t="s">
        <v>8</v>
      </c>
      <c r="BA60" s="6" t="s">
        <v>9</v>
      </c>
      <c r="BB60" s="59"/>
      <c r="BC60" s="43"/>
      <c r="BD60" s="43"/>
      <c r="BE60" s="43"/>
      <c r="BF60" s="43"/>
      <c r="BG60" s="43"/>
      <c r="BH60" s="43"/>
      <c r="BI60" s="43"/>
    </row>
    <row r="61" spans="1:88" ht="15" thickTop="1" x14ac:dyDescent="0.3">
      <c r="A61" s="1" t="s">
        <v>4</v>
      </c>
      <c r="B61" s="16">
        <v>4</v>
      </c>
      <c r="C61" s="17">
        <v>4</v>
      </c>
      <c r="D61" s="18">
        <v>3</v>
      </c>
      <c r="E61" s="23">
        <v>2</v>
      </c>
      <c r="F61" s="24">
        <v>1</v>
      </c>
      <c r="G61" s="17">
        <v>4</v>
      </c>
      <c r="H61" s="8" t="s">
        <v>18</v>
      </c>
      <c r="I61" s="9" t="s">
        <v>18</v>
      </c>
      <c r="J61" s="60">
        <f>MAX(B61:I61)</f>
        <v>4</v>
      </c>
      <c r="K61" s="44">
        <f>IF(A57=TRUE,J61*I57,0)</f>
        <v>40</v>
      </c>
      <c r="L61" s="1" t="s">
        <v>4</v>
      </c>
      <c r="M61" s="16">
        <v>4</v>
      </c>
      <c r="N61" s="17">
        <v>4</v>
      </c>
      <c r="O61" s="18">
        <v>3</v>
      </c>
      <c r="P61" s="23">
        <v>2</v>
      </c>
      <c r="Q61" s="24">
        <v>1</v>
      </c>
      <c r="R61" s="17">
        <v>4</v>
      </c>
      <c r="S61" s="8" t="s">
        <v>18</v>
      </c>
      <c r="T61" s="9" t="s">
        <v>18</v>
      </c>
      <c r="U61" s="60">
        <f>MAX(M61:T61)</f>
        <v>4</v>
      </c>
      <c r="V61" s="44">
        <f>IF($A$57=TRUE,U61*$I$57,0)</f>
        <v>40</v>
      </c>
      <c r="W61" s="1" t="s">
        <v>4</v>
      </c>
      <c r="X61" s="16">
        <v>4</v>
      </c>
      <c r="Y61" s="17">
        <v>4</v>
      </c>
      <c r="Z61" s="18">
        <v>3</v>
      </c>
      <c r="AA61" s="23">
        <v>2</v>
      </c>
      <c r="AB61" s="24">
        <v>1</v>
      </c>
      <c r="AC61" s="17">
        <v>4</v>
      </c>
      <c r="AD61" s="8" t="s">
        <v>18</v>
      </c>
      <c r="AE61" s="9" t="s">
        <v>18</v>
      </c>
      <c r="AF61" s="60">
        <f>MAX(X61:AE61)</f>
        <v>4</v>
      </c>
      <c r="AG61" s="44">
        <f>IF($A$57=TRUE,AF61*$I$57,0)</f>
        <v>40</v>
      </c>
      <c r="AH61" s="1" t="s">
        <v>4</v>
      </c>
      <c r="AI61" s="16">
        <v>4</v>
      </c>
      <c r="AJ61" s="17">
        <v>4</v>
      </c>
      <c r="AK61" s="18">
        <v>3</v>
      </c>
      <c r="AL61" s="23">
        <v>2</v>
      </c>
      <c r="AM61" s="24">
        <v>1</v>
      </c>
      <c r="AN61" s="17">
        <v>4</v>
      </c>
      <c r="AO61" s="8" t="s">
        <v>18</v>
      </c>
      <c r="AP61" s="9" t="s">
        <v>18</v>
      </c>
      <c r="AQ61" s="60">
        <f>MAX(AI61:AP61)</f>
        <v>4</v>
      </c>
      <c r="AR61" s="44">
        <f>IF($A$57=TRUE,AQ61*$I$57,0)</f>
        <v>40</v>
      </c>
      <c r="AS61" s="1" t="s">
        <v>4</v>
      </c>
      <c r="AT61" s="8" t="s">
        <v>18</v>
      </c>
      <c r="AU61" s="9" t="s">
        <v>18</v>
      </c>
      <c r="AV61" s="8" t="s">
        <v>18</v>
      </c>
      <c r="AW61" s="9" t="s">
        <v>18</v>
      </c>
      <c r="AX61" s="8" t="s">
        <v>18</v>
      </c>
      <c r="AY61" s="9" t="s">
        <v>18</v>
      </c>
      <c r="AZ61" s="8" t="s">
        <v>18</v>
      </c>
      <c r="BA61" s="9" t="s">
        <v>18</v>
      </c>
      <c r="BB61" s="60">
        <f>MAX(AT61:BA61)</f>
        <v>0</v>
      </c>
      <c r="BC61" s="44">
        <f>IF($A57=TRUE,BB61*$I57,0)</f>
        <v>0</v>
      </c>
      <c r="BD61" s="44"/>
      <c r="BE61" s="44"/>
      <c r="BF61" s="44"/>
      <c r="BG61" s="44"/>
      <c r="BH61" s="44"/>
      <c r="BI61" s="44"/>
    </row>
    <row r="62" spans="1:88" x14ac:dyDescent="0.3">
      <c r="A62" s="1" t="s">
        <v>5</v>
      </c>
      <c r="B62" s="16">
        <v>4</v>
      </c>
      <c r="C62" s="17">
        <v>4</v>
      </c>
      <c r="D62" s="8" t="s">
        <v>18</v>
      </c>
      <c r="E62" s="9" t="s">
        <v>18</v>
      </c>
      <c r="F62" s="24">
        <v>1</v>
      </c>
      <c r="G62" s="23">
        <v>2</v>
      </c>
      <c r="H62" s="8" t="s">
        <v>18</v>
      </c>
      <c r="I62" s="9" t="s">
        <v>18</v>
      </c>
      <c r="J62" s="60">
        <f t="shared" ref="J62:J125" si="0">MAX(B62:I62)</f>
        <v>4</v>
      </c>
      <c r="K62" s="44">
        <f>IF(A57=TRUE,J62*I57,0)</f>
        <v>40</v>
      </c>
      <c r="L62" s="1" t="s">
        <v>5</v>
      </c>
      <c r="M62" s="16">
        <v>4</v>
      </c>
      <c r="N62" s="17">
        <v>4</v>
      </c>
      <c r="O62" s="8" t="s">
        <v>18</v>
      </c>
      <c r="P62" s="9" t="s">
        <v>18</v>
      </c>
      <c r="Q62" s="24">
        <v>1</v>
      </c>
      <c r="R62" s="23">
        <v>2</v>
      </c>
      <c r="S62" s="8" t="s">
        <v>18</v>
      </c>
      <c r="T62" s="9" t="s">
        <v>18</v>
      </c>
      <c r="U62" s="60">
        <f t="shared" ref="U62:U70" si="1">MAX(M62:T62)</f>
        <v>4</v>
      </c>
      <c r="V62" s="44">
        <f t="shared" ref="V62:V70" si="2">IF($A$57=TRUE,U62*$I$57,0)</f>
        <v>40</v>
      </c>
      <c r="W62" s="1" t="s">
        <v>5</v>
      </c>
      <c r="X62" s="16">
        <v>4</v>
      </c>
      <c r="Y62" s="17">
        <v>4</v>
      </c>
      <c r="Z62" s="8" t="s">
        <v>18</v>
      </c>
      <c r="AA62" s="9" t="s">
        <v>18</v>
      </c>
      <c r="AB62" s="24">
        <v>1</v>
      </c>
      <c r="AC62" s="23">
        <v>2</v>
      </c>
      <c r="AD62" s="8" t="s">
        <v>18</v>
      </c>
      <c r="AE62" s="9" t="s">
        <v>18</v>
      </c>
      <c r="AF62" s="60">
        <f t="shared" ref="AF62:AF70" si="3">MAX(X62:AE62)</f>
        <v>4</v>
      </c>
      <c r="AG62" s="44">
        <f t="shared" ref="AG62:AG70" si="4">IF($A$57=TRUE,AF62*$I$57,0)</f>
        <v>40</v>
      </c>
      <c r="AH62" s="1" t="s">
        <v>5</v>
      </c>
      <c r="AI62" s="16">
        <v>4</v>
      </c>
      <c r="AJ62" s="17">
        <v>4</v>
      </c>
      <c r="AK62" s="8" t="s">
        <v>18</v>
      </c>
      <c r="AL62" s="9" t="s">
        <v>18</v>
      </c>
      <c r="AM62" s="24">
        <v>1</v>
      </c>
      <c r="AN62" s="23">
        <v>2</v>
      </c>
      <c r="AO62" s="8" t="s">
        <v>18</v>
      </c>
      <c r="AP62" s="9" t="s">
        <v>18</v>
      </c>
      <c r="AQ62" s="60">
        <f t="shared" ref="AQ62:AQ70" si="5">MAX(AI62:AP62)</f>
        <v>4</v>
      </c>
      <c r="AR62" s="44">
        <f t="shared" ref="AR62:AR70" si="6">IF($A$57=TRUE,AQ62*$I$57,0)</f>
        <v>40</v>
      </c>
      <c r="AS62" s="1" t="s">
        <v>5</v>
      </c>
      <c r="AT62" s="8" t="s">
        <v>18</v>
      </c>
      <c r="AU62" s="9" t="s">
        <v>18</v>
      </c>
      <c r="AV62" s="8" t="s">
        <v>18</v>
      </c>
      <c r="AW62" s="9" t="s">
        <v>18</v>
      </c>
      <c r="AX62" s="8" t="s">
        <v>18</v>
      </c>
      <c r="AY62" s="9" t="s">
        <v>18</v>
      </c>
      <c r="AZ62" s="8" t="s">
        <v>18</v>
      </c>
      <c r="BA62" s="9" t="s">
        <v>18</v>
      </c>
      <c r="BB62" s="60">
        <f t="shared" ref="BB62:BB70" si="7">MAX(AT62:BA62)</f>
        <v>0</v>
      </c>
      <c r="BC62" s="44">
        <f>IF($A57=TRUE,BB62*$I57,0)</f>
        <v>0</v>
      </c>
      <c r="BD62" s="44"/>
      <c r="BE62" s="44"/>
      <c r="BF62" s="44"/>
      <c r="BG62" s="44"/>
      <c r="BH62" s="44"/>
      <c r="BI62" s="44"/>
    </row>
    <row r="63" spans="1:88" x14ac:dyDescent="0.3">
      <c r="A63" s="1" t="s">
        <v>6</v>
      </c>
      <c r="B63" s="31">
        <v>3</v>
      </c>
      <c r="C63" s="17">
        <v>4</v>
      </c>
      <c r="D63" s="8" t="s">
        <v>18</v>
      </c>
      <c r="E63" s="9" t="s">
        <v>18</v>
      </c>
      <c r="F63" s="24">
        <v>1</v>
      </c>
      <c r="G63" s="23">
        <v>2</v>
      </c>
      <c r="H63" s="8" t="s">
        <v>18</v>
      </c>
      <c r="I63" s="9" t="s">
        <v>18</v>
      </c>
      <c r="J63" s="60">
        <f t="shared" si="0"/>
        <v>4</v>
      </c>
      <c r="K63" s="44">
        <f>IF(A57=TRUE,J63*I57,0)</f>
        <v>40</v>
      </c>
      <c r="L63" s="1" t="s">
        <v>6</v>
      </c>
      <c r="M63" s="31">
        <v>3</v>
      </c>
      <c r="N63" s="17">
        <v>4</v>
      </c>
      <c r="O63" s="8" t="s">
        <v>18</v>
      </c>
      <c r="P63" s="9" t="s">
        <v>18</v>
      </c>
      <c r="Q63" s="24">
        <v>1</v>
      </c>
      <c r="R63" s="23">
        <v>2</v>
      </c>
      <c r="S63" s="8" t="s">
        <v>18</v>
      </c>
      <c r="T63" s="9" t="s">
        <v>18</v>
      </c>
      <c r="U63" s="60">
        <f t="shared" si="1"/>
        <v>4</v>
      </c>
      <c r="V63" s="44">
        <f t="shared" si="2"/>
        <v>40</v>
      </c>
      <c r="W63" s="1" t="s">
        <v>6</v>
      </c>
      <c r="X63" s="31">
        <v>3</v>
      </c>
      <c r="Y63" s="17">
        <v>4</v>
      </c>
      <c r="Z63" s="8" t="s">
        <v>18</v>
      </c>
      <c r="AA63" s="9" t="s">
        <v>18</v>
      </c>
      <c r="AB63" s="24">
        <v>1</v>
      </c>
      <c r="AC63" s="23">
        <v>2</v>
      </c>
      <c r="AD63" s="8" t="s">
        <v>18</v>
      </c>
      <c r="AE63" s="9" t="s">
        <v>18</v>
      </c>
      <c r="AF63" s="60">
        <f t="shared" si="3"/>
        <v>4</v>
      </c>
      <c r="AG63" s="44">
        <f t="shared" si="4"/>
        <v>40</v>
      </c>
      <c r="AH63" s="1" t="s">
        <v>6</v>
      </c>
      <c r="AI63" s="31">
        <v>3</v>
      </c>
      <c r="AJ63" s="17">
        <v>4</v>
      </c>
      <c r="AK63" s="8" t="s">
        <v>18</v>
      </c>
      <c r="AL63" s="9" t="s">
        <v>18</v>
      </c>
      <c r="AM63" s="24">
        <v>1</v>
      </c>
      <c r="AN63" s="23">
        <v>2</v>
      </c>
      <c r="AO63" s="8" t="s">
        <v>18</v>
      </c>
      <c r="AP63" s="9" t="s">
        <v>18</v>
      </c>
      <c r="AQ63" s="60">
        <f t="shared" si="5"/>
        <v>4</v>
      </c>
      <c r="AR63" s="44">
        <f t="shared" si="6"/>
        <v>40</v>
      </c>
      <c r="AS63" s="1" t="s">
        <v>6</v>
      </c>
      <c r="AT63" s="8" t="s">
        <v>18</v>
      </c>
      <c r="AU63" s="9" t="s">
        <v>18</v>
      </c>
      <c r="AV63" s="8" t="s">
        <v>18</v>
      </c>
      <c r="AW63" s="9" t="s">
        <v>18</v>
      </c>
      <c r="AX63" s="8" t="s">
        <v>18</v>
      </c>
      <c r="AY63" s="9" t="s">
        <v>18</v>
      </c>
      <c r="AZ63" s="8" t="s">
        <v>18</v>
      </c>
      <c r="BA63" s="9" t="s">
        <v>18</v>
      </c>
      <c r="BB63" s="60">
        <f t="shared" si="7"/>
        <v>0</v>
      </c>
      <c r="BC63" s="44">
        <f>IF($A57=TRUE,BB63*$I57,0)</f>
        <v>0</v>
      </c>
      <c r="BD63" s="44"/>
      <c r="BE63" s="44"/>
      <c r="BF63" s="44"/>
      <c r="BG63" s="44"/>
      <c r="BH63" s="44"/>
      <c r="BI63" s="44"/>
    </row>
    <row r="64" spans="1:88" x14ac:dyDescent="0.3">
      <c r="A64" s="1" t="s">
        <v>1</v>
      </c>
      <c r="B64" s="8" t="s">
        <v>18</v>
      </c>
      <c r="C64" s="9" t="s">
        <v>18</v>
      </c>
      <c r="D64" s="8" t="s">
        <v>18</v>
      </c>
      <c r="E64" s="9" t="s">
        <v>18</v>
      </c>
      <c r="F64" s="8" t="s">
        <v>18</v>
      </c>
      <c r="G64" s="9" t="s">
        <v>18</v>
      </c>
      <c r="H64" s="29">
        <v>2</v>
      </c>
      <c r="I64" s="22">
        <v>1</v>
      </c>
      <c r="J64" s="60">
        <f t="shared" si="0"/>
        <v>2</v>
      </c>
      <c r="K64" s="44">
        <f>IF(A57=TRUE,J64*I57,0)</f>
        <v>20</v>
      </c>
      <c r="L64" s="1" t="s">
        <v>1</v>
      </c>
      <c r="M64" s="8" t="s">
        <v>18</v>
      </c>
      <c r="N64" s="9" t="s">
        <v>18</v>
      </c>
      <c r="O64" s="8" t="s">
        <v>18</v>
      </c>
      <c r="P64" s="9" t="s">
        <v>18</v>
      </c>
      <c r="Q64" s="8" t="s">
        <v>18</v>
      </c>
      <c r="R64" s="9" t="s">
        <v>18</v>
      </c>
      <c r="S64" s="29">
        <v>2</v>
      </c>
      <c r="T64" s="22">
        <v>1</v>
      </c>
      <c r="U64" s="60">
        <f t="shared" si="1"/>
        <v>2</v>
      </c>
      <c r="V64" s="44">
        <f t="shared" si="2"/>
        <v>20</v>
      </c>
      <c r="W64" s="1" t="s">
        <v>1</v>
      </c>
      <c r="X64" s="8" t="s">
        <v>18</v>
      </c>
      <c r="Y64" s="9" t="s">
        <v>18</v>
      </c>
      <c r="Z64" s="8" t="s">
        <v>18</v>
      </c>
      <c r="AA64" s="9" t="s">
        <v>18</v>
      </c>
      <c r="AB64" s="8" t="s">
        <v>18</v>
      </c>
      <c r="AC64" s="9" t="s">
        <v>18</v>
      </c>
      <c r="AD64" s="18">
        <v>3</v>
      </c>
      <c r="AE64" s="23">
        <v>2</v>
      </c>
      <c r="AF64" s="60">
        <f t="shared" si="3"/>
        <v>3</v>
      </c>
      <c r="AG64" s="44">
        <f t="shared" si="4"/>
        <v>30</v>
      </c>
      <c r="AH64" s="1" t="s">
        <v>1</v>
      </c>
      <c r="AI64" s="8" t="s">
        <v>18</v>
      </c>
      <c r="AJ64" s="9" t="s">
        <v>18</v>
      </c>
      <c r="AK64" s="8" t="s">
        <v>18</v>
      </c>
      <c r="AL64" s="9" t="s">
        <v>18</v>
      </c>
      <c r="AM64" s="8" t="s">
        <v>18</v>
      </c>
      <c r="AN64" s="9" t="s">
        <v>18</v>
      </c>
      <c r="AO64" s="51">
        <v>4</v>
      </c>
      <c r="AP64" s="23">
        <v>2</v>
      </c>
      <c r="AQ64" s="60">
        <f t="shared" si="5"/>
        <v>4</v>
      </c>
      <c r="AR64" s="44">
        <f t="shared" si="6"/>
        <v>40</v>
      </c>
      <c r="AS64" s="1" t="s">
        <v>1</v>
      </c>
      <c r="AT64" s="8" t="s">
        <v>18</v>
      </c>
      <c r="AU64" s="9" t="s">
        <v>18</v>
      </c>
      <c r="AV64" s="8" t="s">
        <v>18</v>
      </c>
      <c r="AW64" s="9" t="s">
        <v>18</v>
      </c>
      <c r="AX64" s="8" t="s">
        <v>18</v>
      </c>
      <c r="AY64" s="9" t="s">
        <v>18</v>
      </c>
      <c r="AZ64" s="8" t="s">
        <v>18</v>
      </c>
      <c r="BA64" s="9" t="s">
        <v>18</v>
      </c>
      <c r="BB64" s="60">
        <f t="shared" si="7"/>
        <v>0</v>
      </c>
      <c r="BC64" s="44">
        <f>IF($A57=TRUE,BB64*$I57,0)</f>
        <v>0</v>
      </c>
      <c r="BD64" s="44"/>
      <c r="BE64" s="44"/>
      <c r="BF64" s="44"/>
      <c r="BG64" s="44"/>
      <c r="BH64" s="44"/>
      <c r="BI64" s="44"/>
    </row>
    <row r="65" spans="1:61" x14ac:dyDescent="0.3">
      <c r="A65" s="1" t="s">
        <v>16</v>
      </c>
      <c r="B65" s="8" t="s">
        <v>18</v>
      </c>
      <c r="C65" s="9" t="s">
        <v>18</v>
      </c>
      <c r="D65" s="8" t="s">
        <v>18</v>
      </c>
      <c r="E65" s="9" t="s">
        <v>18</v>
      </c>
      <c r="F65" s="8" t="s">
        <v>18</v>
      </c>
      <c r="G65" s="22">
        <v>1</v>
      </c>
      <c r="H65" s="8" t="s">
        <v>18</v>
      </c>
      <c r="I65" s="22">
        <v>1</v>
      </c>
      <c r="J65" s="60">
        <f t="shared" si="0"/>
        <v>1</v>
      </c>
      <c r="K65" s="44">
        <f>IF(A57=TRUE,J65*I57,0)</f>
        <v>10</v>
      </c>
      <c r="L65" s="1" t="s">
        <v>16</v>
      </c>
      <c r="M65" s="8" t="s">
        <v>18</v>
      </c>
      <c r="N65" s="9" t="s">
        <v>18</v>
      </c>
      <c r="O65" s="8" t="s">
        <v>18</v>
      </c>
      <c r="P65" s="9" t="s">
        <v>18</v>
      </c>
      <c r="Q65" s="8" t="s">
        <v>18</v>
      </c>
      <c r="R65" s="22">
        <v>1</v>
      </c>
      <c r="S65" s="8" t="s">
        <v>18</v>
      </c>
      <c r="T65" s="22">
        <v>1</v>
      </c>
      <c r="U65" s="60">
        <f t="shared" si="1"/>
        <v>1</v>
      </c>
      <c r="V65" s="44">
        <f t="shared" si="2"/>
        <v>10</v>
      </c>
      <c r="W65" s="1" t="s">
        <v>16</v>
      </c>
      <c r="X65" s="8" t="s">
        <v>18</v>
      </c>
      <c r="Y65" s="9" t="s">
        <v>18</v>
      </c>
      <c r="Z65" s="8" t="s">
        <v>18</v>
      </c>
      <c r="AA65" s="9" t="s">
        <v>18</v>
      </c>
      <c r="AB65" s="8" t="s">
        <v>18</v>
      </c>
      <c r="AC65" s="22">
        <v>1</v>
      </c>
      <c r="AD65" s="8" t="s">
        <v>18</v>
      </c>
      <c r="AE65" s="22">
        <v>1</v>
      </c>
      <c r="AF65" s="60">
        <f t="shared" si="3"/>
        <v>1</v>
      </c>
      <c r="AG65" s="44">
        <f t="shared" si="4"/>
        <v>10</v>
      </c>
      <c r="AH65" s="1" t="s">
        <v>16</v>
      </c>
      <c r="AI65" s="8" t="s">
        <v>18</v>
      </c>
      <c r="AJ65" s="9" t="s">
        <v>18</v>
      </c>
      <c r="AK65" s="8" t="s">
        <v>18</v>
      </c>
      <c r="AL65" s="9" t="s">
        <v>18</v>
      </c>
      <c r="AM65" s="8" t="s">
        <v>18</v>
      </c>
      <c r="AN65" s="22">
        <v>1</v>
      </c>
      <c r="AO65" s="8" t="s">
        <v>18</v>
      </c>
      <c r="AP65" s="22">
        <v>1</v>
      </c>
      <c r="AQ65" s="60">
        <f t="shared" si="5"/>
        <v>1</v>
      </c>
      <c r="AR65" s="44">
        <f t="shared" si="6"/>
        <v>10</v>
      </c>
      <c r="AS65" s="1" t="s">
        <v>16</v>
      </c>
      <c r="AT65" s="8" t="s">
        <v>18</v>
      </c>
      <c r="AU65" s="9" t="s">
        <v>18</v>
      </c>
      <c r="AV65" s="8" t="s">
        <v>18</v>
      </c>
      <c r="AW65" s="9" t="s">
        <v>18</v>
      </c>
      <c r="AX65" s="8" t="s">
        <v>18</v>
      </c>
      <c r="AY65" s="9" t="s">
        <v>18</v>
      </c>
      <c r="AZ65" s="8" t="s">
        <v>18</v>
      </c>
      <c r="BA65" s="9" t="s">
        <v>18</v>
      </c>
      <c r="BB65" s="60">
        <f t="shared" si="7"/>
        <v>0</v>
      </c>
      <c r="BC65" s="44">
        <f>IF($A57=TRUE,BB65*$I57,0)</f>
        <v>0</v>
      </c>
      <c r="BD65" s="44"/>
      <c r="BE65" s="44"/>
      <c r="BF65" s="44"/>
      <c r="BG65" s="44"/>
      <c r="BH65" s="44"/>
      <c r="BI65" s="44"/>
    </row>
    <row r="66" spans="1:61" x14ac:dyDescent="0.3">
      <c r="A66" s="1" t="s">
        <v>17</v>
      </c>
      <c r="B66" s="8" t="s">
        <v>18</v>
      </c>
      <c r="C66" s="9" t="s">
        <v>18</v>
      </c>
      <c r="D66" s="29">
        <v>2</v>
      </c>
      <c r="E66" s="23">
        <v>2</v>
      </c>
      <c r="F66" s="8" t="s">
        <v>18</v>
      </c>
      <c r="G66" s="9" t="s">
        <v>18</v>
      </c>
      <c r="H66" s="29">
        <v>2</v>
      </c>
      <c r="I66" s="23">
        <v>2</v>
      </c>
      <c r="J66" s="60">
        <f t="shared" si="0"/>
        <v>2</v>
      </c>
      <c r="K66" s="44">
        <f>IF(A57=TRUE,J66*I57,0)</f>
        <v>20</v>
      </c>
      <c r="L66" s="1" t="s">
        <v>17</v>
      </c>
      <c r="M66" s="8" t="s">
        <v>18</v>
      </c>
      <c r="N66" s="9" t="s">
        <v>18</v>
      </c>
      <c r="O66" s="28">
        <v>3</v>
      </c>
      <c r="P66" s="19">
        <v>3</v>
      </c>
      <c r="Q66" s="8" t="s">
        <v>18</v>
      </c>
      <c r="R66" s="9" t="s">
        <v>18</v>
      </c>
      <c r="S66" s="29">
        <v>2</v>
      </c>
      <c r="T66" s="23">
        <v>2</v>
      </c>
      <c r="U66" s="60">
        <f t="shared" si="1"/>
        <v>3</v>
      </c>
      <c r="V66" s="44">
        <f t="shared" si="2"/>
        <v>30</v>
      </c>
      <c r="W66" s="1" t="s">
        <v>17</v>
      </c>
      <c r="X66" s="8" t="s">
        <v>18</v>
      </c>
      <c r="Y66" s="9" t="s">
        <v>18</v>
      </c>
      <c r="Z66" s="28">
        <v>3</v>
      </c>
      <c r="AA66" s="19">
        <v>3</v>
      </c>
      <c r="AB66" s="8" t="s">
        <v>18</v>
      </c>
      <c r="AC66" s="9" t="s">
        <v>18</v>
      </c>
      <c r="AD66" s="29">
        <v>2</v>
      </c>
      <c r="AE66" s="23">
        <v>2</v>
      </c>
      <c r="AF66" s="60">
        <f t="shared" si="3"/>
        <v>3</v>
      </c>
      <c r="AG66" s="44">
        <f t="shared" si="4"/>
        <v>30</v>
      </c>
      <c r="AH66" s="1" t="s">
        <v>17</v>
      </c>
      <c r="AI66" s="8" t="s">
        <v>18</v>
      </c>
      <c r="AJ66" s="9" t="s">
        <v>18</v>
      </c>
      <c r="AK66" s="28">
        <v>3</v>
      </c>
      <c r="AL66" s="19">
        <v>3</v>
      </c>
      <c r="AM66" s="8" t="s">
        <v>18</v>
      </c>
      <c r="AN66" s="9" t="s">
        <v>18</v>
      </c>
      <c r="AO66" s="29">
        <v>2</v>
      </c>
      <c r="AP66" s="23">
        <v>2</v>
      </c>
      <c r="AQ66" s="60">
        <f t="shared" si="5"/>
        <v>3</v>
      </c>
      <c r="AR66" s="44">
        <f t="shared" si="6"/>
        <v>30</v>
      </c>
      <c r="AS66" s="1" t="s">
        <v>17</v>
      </c>
      <c r="AT66" s="8" t="s">
        <v>18</v>
      </c>
      <c r="AU66" s="9" t="s">
        <v>18</v>
      </c>
      <c r="AV66" s="27">
        <v>5</v>
      </c>
      <c r="AW66" s="26">
        <v>5</v>
      </c>
      <c r="AX66" s="8" t="s">
        <v>18</v>
      </c>
      <c r="AY66" s="9" t="s">
        <v>18</v>
      </c>
      <c r="AZ66" s="16">
        <v>4</v>
      </c>
      <c r="BA66" s="17">
        <v>4</v>
      </c>
      <c r="BB66" s="60">
        <f t="shared" si="7"/>
        <v>5</v>
      </c>
      <c r="BC66" s="44">
        <f>IF($A57=TRUE,BB66*$I57,0)</f>
        <v>50</v>
      </c>
      <c r="BD66" s="44"/>
      <c r="BE66" s="44"/>
      <c r="BF66" s="44"/>
      <c r="BG66" s="44"/>
      <c r="BH66" s="44"/>
      <c r="BI66" s="44"/>
    </row>
    <row r="67" spans="1:61" x14ac:dyDescent="0.3">
      <c r="A67" s="1" t="s">
        <v>2</v>
      </c>
      <c r="B67" s="16">
        <v>4</v>
      </c>
      <c r="C67" s="17">
        <v>4</v>
      </c>
      <c r="D67" s="8" t="s">
        <v>18</v>
      </c>
      <c r="E67" s="9" t="s">
        <v>18</v>
      </c>
      <c r="F67" s="24">
        <v>1</v>
      </c>
      <c r="G67" s="19">
        <v>3</v>
      </c>
      <c r="H67" s="8" t="s">
        <v>18</v>
      </c>
      <c r="I67" s="9" t="s">
        <v>18</v>
      </c>
      <c r="J67" s="60">
        <f t="shared" si="0"/>
        <v>4</v>
      </c>
      <c r="K67" s="44">
        <f>IF(A57=TRUE,J67*I57,0)</f>
        <v>40</v>
      </c>
      <c r="L67" s="1" t="s">
        <v>2</v>
      </c>
      <c r="M67" s="16">
        <v>4</v>
      </c>
      <c r="N67" s="17">
        <v>4</v>
      </c>
      <c r="O67" s="8" t="s">
        <v>18</v>
      </c>
      <c r="P67" s="9" t="s">
        <v>18</v>
      </c>
      <c r="Q67" s="24">
        <v>1</v>
      </c>
      <c r="R67" s="19">
        <v>3</v>
      </c>
      <c r="S67" s="8" t="s">
        <v>18</v>
      </c>
      <c r="T67" s="9" t="s">
        <v>18</v>
      </c>
      <c r="U67" s="60">
        <f t="shared" si="1"/>
        <v>4</v>
      </c>
      <c r="V67" s="44">
        <f t="shared" si="2"/>
        <v>40</v>
      </c>
      <c r="W67" s="1" t="s">
        <v>2</v>
      </c>
      <c r="X67" s="16">
        <v>4</v>
      </c>
      <c r="Y67" s="17">
        <v>4</v>
      </c>
      <c r="Z67" s="8" t="s">
        <v>18</v>
      </c>
      <c r="AA67" s="9" t="s">
        <v>18</v>
      </c>
      <c r="AB67" s="24">
        <v>1</v>
      </c>
      <c r="AC67" s="19">
        <v>3</v>
      </c>
      <c r="AD67" s="8" t="s">
        <v>18</v>
      </c>
      <c r="AE67" s="9" t="s">
        <v>18</v>
      </c>
      <c r="AF67" s="60">
        <f t="shared" si="3"/>
        <v>4</v>
      </c>
      <c r="AG67" s="44">
        <f t="shared" si="4"/>
        <v>40</v>
      </c>
      <c r="AH67" s="1" t="s">
        <v>2</v>
      </c>
      <c r="AI67" s="16">
        <v>4</v>
      </c>
      <c r="AJ67" s="17">
        <v>4</v>
      </c>
      <c r="AK67" s="8" t="s">
        <v>18</v>
      </c>
      <c r="AL67" s="9" t="s">
        <v>18</v>
      </c>
      <c r="AM67" s="24">
        <v>1</v>
      </c>
      <c r="AN67" s="19">
        <v>3</v>
      </c>
      <c r="AO67" s="8" t="s">
        <v>18</v>
      </c>
      <c r="AP67" s="9" t="s">
        <v>18</v>
      </c>
      <c r="AQ67" s="60">
        <f t="shared" si="5"/>
        <v>4</v>
      </c>
      <c r="AR67" s="44">
        <f t="shared" si="6"/>
        <v>40</v>
      </c>
      <c r="AS67" s="1" t="s">
        <v>2</v>
      </c>
      <c r="AT67" s="8" t="s">
        <v>18</v>
      </c>
      <c r="AU67" s="9" t="s">
        <v>18</v>
      </c>
      <c r="AV67" s="8" t="s">
        <v>18</v>
      </c>
      <c r="AW67" s="9" t="s">
        <v>18</v>
      </c>
      <c r="AX67" s="8" t="s">
        <v>18</v>
      </c>
      <c r="AY67" s="9" t="s">
        <v>18</v>
      </c>
      <c r="AZ67" s="8" t="s">
        <v>18</v>
      </c>
      <c r="BA67" s="9" t="s">
        <v>18</v>
      </c>
      <c r="BB67" s="60">
        <f t="shared" si="7"/>
        <v>0</v>
      </c>
      <c r="BC67" s="44">
        <f>IF($A57=TRUE,BB67*$I57,0)</f>
        <v>0</v>
      </c>
      <c r="BD67" s="44"/>
      <c r="BE67" s="44"/>
      <c r="BF67" s="44"/>
      <c r="BG67" s="44"/>
      <c r="BH67" s="44"/>
      <c r="BI67" s="44"/>
    </row>
    <row r="68" spans="1:61" x14ac:dyDescent="0.3">
      <c r="A68" s="1" t="s">
        <v>20</v>
      </c>
      <c r="B68" s="8" t="s">
        <v>18</v>
      </c>
      <c r="C68" s="9" t="s">
        <v>18</v>
      </c>
      <c r="D68" s="12" t="s">
        <v>18</v>
      </c>
      <c r="E68" s="26">
        <v>5</v>
      </c>
      <c r="F68" s="8" t="s">
        <v>18</v>
      </c>
      <c r="G68" s="9" t="s">
        <v>18</v>
      </c>
      <c r="H68" s="12" t="s">
        <v>18</v>
      </c>
      <c r="I68" s="26">
        <v>5</v>
      </c>
      <c r="J68" s="60">
        <f t="shared" si="0"/>
        <v>5</v>
      </c>
      <c r="K68" s="44">
        <f>IF(A57=TRUE,J68*I57,0)</f>
        <v>50</v>
      </c>
      <c r="L68" s="1" t="s">
        <v>20</v>
      </c>
      <c r="M68" s="8" t="s">
        <v>18</v>
      </c>
      <c r="N68" s="9" t="s">
        <v>18</v>
      </c>
      <c r="O68" s="12" t="s">
        <v>18</v>
      </c>
      <c r="P68" s="26">
        <v>5</v>
      </c>
      <c r="Q68" s="8" t="s">
        <v>18</v>
      </c>
      <c r="R68" s="9" t="s">
        <v>18</v>
      </c>
      <c r="S68" s="12" t="s">
        <v>18</v>
      </c>
      <c r="T68" s="26">
        <v>5</v>
      </c>
      <c r="U68" s="60">
        <f t="shared" si="1"/>
        <v>5</v>
      </c>
      <c r="V68" s="44">
        <f t="shared" si="2"/>
        <v>50</v>
      </c>
      <c r="W68" s="1" t="s">
        <v>20</v>
      </c>
      <c r="X68" s="8" t="s">
        <v>18</v>
      </c>
      <c r="Y68" s="9" t="s">
        <v>18</v>
      </c>
      <c r="Z68" s="12" t="s">
        <v>18</v>
      </c>
      <c r="AA68" s="26">
        <v>5</v>
      </c>
      <c r="AB68" s="8" t="s">
        <v>18</v>
      </c>
      <c r="AC68" s="9" t="s">
        <v>18</v>
      </c>
      <c r="AD68" s="12" t="s">
        <v>18</v>
      </c>
      <c r="AE68" s="26">
        <v>5</v>
      </c>
      <c r="AF68" s="60">
        <f t="shared" si="3"/>
        <v>5</v>
      </c>
      <c r="AG68" s="44">
        <f t="shared" si="4"/>
        <v>50</v>
      </c>
      <c r="AH68" s="1" t="s">
        <v>20</v>
      </c>
      <c r="AI68" s="8" t="s">
        <v>18</v>
      </c>
      <c r="AJ68" s="9" t="s">
        <v>18</v>
      </c>
      <c r="AK68" s="12" t="s">
        <v>18</v>
      </c>
      <c r="AL68" s="26">
        <v>5</v>
      </c>
      <c r="AM68" s="8" t="s">
        <v>18</v>
      </c>
      <c r="AN68" s="9" t="s">
        <v>18</v>
      </c>
      <c r="AO68" s="12" t="s">
        <v>18</v>
      </c>
      <c r="AP68" s="26">
        <v>5</v>
      </c>
      <c r="AQ68" s="60">
        <f t="shared" si="5"/>
        <v>5</v>
      </c>
      <c r="AR68" s="44">
        <f t="shared" si="6"/>
        <v>50</v>
      </c>
      <c r="AS68" s="1" t="s">
        <v>20</v>
      </c>
      <c r="AT68" s="8" t="s">
        <v>18</v>
      </c>
      <c r="AU68" s="9" t="s">
        <v>18</v>
      </c>
      <c r="AV68" s="8" t="s">
        <v>18</v>
      </c>
      <c r="AW68" s="9" t="s">
        <v>18</v>
      </c>
      <c r="AX68" s="8" t="s">
        <v>18</v>
      </c>
      <c r="AY68" s="9" t="s">
        <v>18</v>
      </c>
      <c r="AZ68" s="8" t="s">
        <v>18</v>
      </c>
      <c r="BA68" s="9" t="s">
        <v>18</v>
      </c>
      <c r="BB68" s="60">
        <f t="shared" si="7"/>
        <v>0</v>
      </c>
      <c r="BC68" s="44">
        <f>IF($A57=TRUE,BB68*$I57,0)</f>
        <v>0</v>
      </c>
      <c r="BD68" s="44"/>
      <c r="BE68" s="44"/>
      <c r="BF68" s="44"/>
      <c r="BG68" s="44"/>
      <c r="BH68" s="44"/>
      <c r="BI68" s="44"/>
    </row>
    <row r="69" spans="1:61" x14ac:dyDescent="0.3">
      <c r="A69" s="1" t="s">
        <v>3</v>
      </c>
      <c r="B69" s="8" t="s">
        <v>18</v>
      </c>
      <c r="C69" s="9" t="s">
        <v>18</v>
      </c>
      <c r="D69" s="29">
        <v>2</v>
      </c>
      <c r="E69" s="22">
        <v>1</v>
      </c>
      <c r="F69" s="8" t="s">
        <v>18</v>
      </c>
      <c r="G69" s="9" t="s">
        <v>18</v>
      </c>
      <c r="H69" s="12" t="s">
        <v>18</v>
      </c>
      <c r="I69" s="9" t="s">
        <v>18</v>
      </c>
      <c r="J69" s="60">
        <f t="shared" si="0"/>
        <v>2</v>
      </c>
      <c r="K69" s="44">
        <f>IF(A57=TRUE,J69*I57,0)</f>
        <v>20</v>
      </c>
      <c r="L69" s="1" t="s">
        <v>3</v>
      </c>
      <c r="M69" s="8" t="s">
        <v>18</v>
      </c>
      <c r="N69" s="9" t="s">
        <v>18</v>
      </c>
      <c r="O69" s="28">
        <v>3</v>
      </c>
      <c r="P69" s="22">
        <v>1</v>
      </c>
      <c r="Q69" s="8" t="s">
        <v>18</v>
      </c>
      <c r="R69" s="9" t="s">
        <v>18</v>
      </c>
      <c r="S69" s="12" t="s">
        <v>18</v>
      </c>
      <c r="T69" s="9" t="s">
        <v>18</v>
      </c>
      <c r="U69" s="60">
        <f t="shared" si="1"/>
        <v>3</v>
      </c>
      <c r="V69" s="44">
        <f t="shared" si="2"/>
        <v>30</v>
      </c>
      <c r="W69" s="1" t="s">
        <v>3</v>
      </c>
      <c r="X69" s="8" t="s">
        <v>18</v>
      </c>
      <c r="Y69" s="9" t="s">
        <v>18</v>
      </c>
      <c r="Z69" s="16">
        <v>4</v>
      </c>
      <c r="AA69" s="22">
        <v>1</v>
      </c>
      <c r="AB69" s="8" t="s">
        <v>18</v>
      </c>
      <c r="AC69" s="9" t="s">
        <v>18</v>
      </c>
      <c r="AD69" s="12" t="s">
        <v>18</v>
      </c>
      <c r="AE69" s="9" t="s">
        <v>18</v>
      </c>
      <c r="AF69" s="60">
        <f t="shared" si="3"/>
        <v>4</v>
      </c>
      <c r="AG69" s="44">
        <f t="shared" si="4"/>
        <v>40</v>
      </c>
      <c r="AH69" s="1" t="s">
        <v>3</v>
      </c>
      <c r="AI69" s="8" t="s">
        <v>18</v>
      </c>
      <c r="AJ69" s="9" t="s">
        <v>18</v>
      </c>
      <c r="AK69" s="16">
        <v>4</v>
      </c>
      <c r="AL69" s="22">
        <v>1</v>
      </c>
      <c r="AM69" s="8" t="s">
        <v>18</v>
      </c>
      <c r="AN69" s="9" t="s">
        <v>18</v>
      </c>
      <c r="AO69" s="12" t="s">
        <v>18</v>
      </c>
      <c r="AP69" s="9" t="s">
        <v>18</v>
      </c>
      <c r="AQ69" s="60">
        <f t="shared" si="5"/>
        <v>4</v>
      </c>
      <c r="AR69" s="44">
        <f t="shared" si="6"/>
        <v>40</v>
      </c>
      <c r="AS69" s="1" t="s">
        <v>3</v>
      </c>
      <c r="AT69" s="8" t="s">
        <v>18</v>
      </c>
      <c r="AU69" s="9" t="s">
        <v>18</v>
      </c>
      <c r="AV69" s="8" t="s">
        <v>18</v>
      </c>
      <c r="AW69" s="9" t="s">
        <v>18</v>
      </c>
      <c r="AX69" s="8" t="s">
        <v>18</v>
      </c>
      <c r="AY69" s="9" t="s">
        <v>18</v>
      </c>
      <c r="AZ69" s="53">
        <v>5</v>
      </c>
      <c r="BA69" s="41">
        <v>2</v>
      </c>
      <c r="BB69" s="60">
        <f t="shared" si="7"/>
        <v>5</v>
      </c>
      <c r="BC69" s="44">
        <f>IF($A57=TRUE,BB69*$I57,0)</f>
        <v>50</v>
      </c>
      <c r="BD69" s="44"/>
      <c r="BE69" s="44"/>
      <c r="BF69" s="44"/>
      <c r="BG69" s="44"/>
      <c r="BH69" s="44"/>
      <c r="BI69" s="44"/>
    </row>
    <row r="70" spans="1:61" x14ac:dyDescent="0.3">
      <c r="A70" s="13" t="s">
        <v>12</v>
      </c>
      <c r="B70" s="14" t="s">
        <v>18</v>
      </c>
      <c r="C70" s="15" t="s">
        <v>18</v>
      </c>
      <c r="D70" s="40">
        <v>2</v>
      </c>
      <c r="E70" s="41">
        <v>2</v>
      </c>
      <c r="F70" s="14" t="s">
        <v>18</v>
      </c>
      <c r="G70" s="15" t="s">
        <v>18</v>
      </c>
      <c r="H70" s="14" t="s">
        <v>18</v>
      </c>
      <c r="I70" s="15" t="s">
        <v>18</v>
      </c>
      <c r="J70" s="60">
        <f t="shared" si="0"/>
        <v>2</v>
      </c>
      <c r="K70" s="44">
        <f>IF(A57=TRUE,J70*I57,0)</f>
        <v>20</v>
      </c>
      <c r="L70" s="13" t="s">
        <v>12</v>
      </c>
      <c r="M70" s="14" t="s">
        <v>18</v>
      </c>
      <c r="N70" s="15" t="s">
        <v>18</v>
      </c>
      <c r="O70" s="30">
        <v>3</v>
      </c>
      <c r="P70" s="32">
        <v>3</v>
      </c>
      <c r="Q70" s="14" t="s">
        <v>18</v>
      </c>
      <c r="R70" s="15" t="s">
        <v>18</v>
      </c>
      <c r="S70" s="14" t="s">
        <v>18</v>
      </c>
      <c r="T70" s="15" t="s">
        <v>18</v>
      </c>
      <c r="U70" s="60">
        <f t="shared" si="1"/>
        <v>3</v>
      </c>
      <c r="V70" s="44">
        <f t="shared" si="2"/>
        <v>30</v>
      </c>
      <c r="W70" s="13" t="s">
        <v>12</v>
      </c>
      <c r="X70" s="14" t="s">
        <v>18</v>
      </c>
      <c r="Y70" s="15" t="s">
        <v>18</v>
      </c>
      <c r="Z70" s="30">
        <v>3</v>
      </c>
      <c r="AA70" s="32">
        <v>3</v>
      </c>
      <c r="AB70" s="14" t="s">
        <v>18</v>
      </c>
      <c r="AC70" s="15" t="s">
        <v>18</v>
      </c>
      <c r="AD70" s="14" t="s">
        <v>18</v>
      </c>
      <c r="AE70" s="15" t="s">
        <v>18</v>
      </c>
      <c r="AF70" s="60">
        <f t="shared" si="3"/>
        <v>3</v>
      </c>
      <c r="AG70" s="44">
        <f t="shared" si="4"/>
        <v>30</v>
      </c>
      <c r="AH70" s="13" t="s">
        <v>12</v>
      </c>
      <c r="AI70" s="14" t="s">
        <v>18</v>
      </c>
      <c r="AJ70" s="15" t="s">
        <v>18</v>
      </c>
      <c r="AK70" s="30">
        <v>3</v>
      </c>
      <c r="AL70" s="32">
        <v>3</v>
      </c>
      <c r="AM70" s="14" t="s">
        <v>18</v>
      </c>
      <c r="AN70" s="15" t="s">
        <v>18</v>
      </c>
      <c r="AO70" s="14" t="s">
        <v>18</v>
      </c>
      <c r="AP70" s="15" t="s">
        <v>18</v>
      </c>
      <c r="AQ70" s="60">
        <f t="shared" si="5"/>
        <v>3</v>
      </c>
      <c r="AR70" s="44">
        <f t="shared" si="6"/>
        <v>30</v>
      </c>
      <c r="AS70" s="13" t="s">
        <v>12</v>
      </c>
      <c r="AT70" s="14" t="s">
        <v>18</v>
      </c>
      <c r="AU70" s="15" t="s">
        <v>18</v>
      </c>
      <c r="AV70" s="53">
        <v>5</v>
      </c>
      <c r="AW70" s="53">
        <v>5</v>
      </c>
      <c r="AX70" s="14" t="s">
        <v>18</v>
      </c>
      <c r="AY70" s="15" t="s">
        <v>18</v>
      </c>
      <c r="AZ70" s="40">
        <v>2</v>
      </c>
      <c r="BA70" s="41">
        <v>2</v>
      </c>
      <c r="BB70" s="60">
        <f t="shared" si="7"/>
        <v>5</v>
      </c>
      <c r="BC70" s="44">
        <f>IF($A57=TRUE,BB70*$I57,0)</f>
        <v>50</v>
      </c>
      <c r="BD70" s="44"/>
      <c r="BE70" s="44"/>
      <c r="BF70" s="44"/>
      <c r="BG70" s="44"/>
      <c r="BH70" s="44"/>
      <c r="BI70" s="44"/>
    </row>
    <row r="71" spans="1:61" x14ac:dyDescent="0.3">
      <c r="A71" s="2"/>
      <c r="B71" s="2"/>
      <c r="C71" s="2"/>
      <c r="D71" s="2"/>
      <c r="E71" s="2"/>
      <c r="F71" s="2"/>
      <c r="G71" s="2"/>
      <c r="H71" s="2"/>
      <c r="I71" s="2"/>
      <c r="J71" s="60"/>
    </row>
    <row r="72" spans="1:61" x14ac:dyDescent="0.3">
      <c r="A72" s="4" t="s">
        <v>19</v>
      </c>
      <c r="B72" s="2"/>
      <c r="C72" s="2"/>
      <c r="D72" s="2"/>
      <c r="E72" s="2"/>
      <c r="F72" s="2"/>
      <c r="G72" s="2"/>
      <c r="H72" s="2"/>
      <c r="I72" s="2" t="s">
        <v>26</v>
      </c>
      <c r="J72" s="60"/>
    </row>
    <row r="73" spans="1:61" x14ac:dyDescent="0.3">
      <c r="A73" s="2" t="b">
        <v>0</v>
      </c>
      <c r="B73" s="2"/>
      <c r="C73" s="2"/>
      <c r="D73" s="2"/>
      <c r="E73" s="2"/>
      <c r="F73" s="2"/>
      <c r="G73" s="2"/>
      <c r="H73" s="2"/>
      <c r="I73" s="2">
        <f>F6</f>
        <v>0</v>
      </c>
      <c r="J73" s="60"/>
    </row>
    <row r="74" spans="1:61" x14ac:dyDescent="0.3">
      <c r="A74" s="2"/>
      <c r="B74" s="2"/>
      <c r="C74" s="2"/>
      <c r="D74" s="2"/>
      <c r="E74" s="2"/>
      <c r="F74" s="2"/>
      <c r="G74" s="2"/>
      <c r="H74" s="2"/>
      <c r="I74" s="2"/>
      <c r="J74" s="60"/>
    </row>
    <row r="75" spans="1:61" x14ac:dyDescent="0.3">
      <c r="A75" s="10" t="s">
        <v>14</v>
      </c>
      <c r="B75" s="85" t="s">
        <v>7</v>
      </c>
      <c r="C75" s="86"/>
      <c r="D75" s="85" t="s">
        <v>10</v>
      </c>
      <c r="E75" s="86"/>
      <c r="F75" s="87" t="s">
        <v>11</v>
      </c>
      <c r="G75" s="86"/>
      <c r="H75" s="85" t="s">
        <v>13</v>
      </c>
      <c r="I75" s="86"/>
      <c r="J75" s="60"/>
      <c r="K75" s="42"/>
      <c r="L75" s="10" t="s">
        <v>14</v>
      </c>
      <c r="M75" s="85" t="s">
        <v>7</v>
      </c>
      <c r="N75" s="86"/>
      <c r="O75" s="85" t="s">
        <v>10</v>
      </c>
      <c r="P75" s="86"/>
      <c r="Q75" s="87" t="s">
        <v>11</v>
      </c>
      <c r="R75" s="86"/>
      <c r="S75" s="85" t="s">
        <v>13</v>
      </c>
      <c r="T75" s="86"/>
      <c r="U75" s="58"/>
      <c r="V75" s="42"/>
      <c r="W75" s="10" t="s">
        <v>14</v>
      </c>
      <c r="X75" s="85" t="s">
        <v>7</v>
      </c>
      <c r="Y75" s="86"/>
      <c r="Z75" s="85" t="s">
        <v>10</v>
      </c>
      <c r="AA75" s="86"/>
      <c r="AB75" s="87" t="s">
        <v>11</v>
      </c>
      <c r="AC75" s="86"/>
      <c r="AD75" s="85" t="s">
        <v>13</v>
      </c>
      <c r="AE75" s="86"/>
      <c r="AF75" s="58"/>
      <c r="AG75" s="42"/>
      <c r="AH75" s="10" t="s">
        <v>14</v>
      </c>
      <c r="AI75" s="85" t="s">
        <v>7</v>
      </c>
      <c r="AJ75" s="86"/>
      <c r="AK75" s="85" t="s">
        <v>10</v>
      </c>
      <c r="AL75" s="86"/>
      <c r="AM75" s="87" t="s">
        <v>11</v>
      </c>
      <c r="AN75" s="86"/>
      <c r="AO75" s="85" t="s">
        <v>13</v>
      </c>
      <c r="AP75" s="86"/>
      <c r="AQ75" s="58"/>
      <c r="AR75" s="42"/>
      <c r="AS75" s="10" t="s">
        <v>14</v>
      </c>
      <c r="AT75" s="85" t="s">
        <v>7</v>
      </c>
      <c r="AU75" s="86"/>
      <c r="AV75" s="85" t="s">
        <v>10</v>
      </c>
      <c r="AW75" s="86"/>
      <c r="AX75" s="87" t="s">
        <v>11</v>
      </c>
      <c r="AY75" s="86"/>
      <c r="AZ75" s="85" t="s">
        <v>13</v>
      </c>
      <c r="BA75" s="86"/>
      <c r="BB75" s="58"/>
      <c r="BC75" s="42"/>
      <c r="BD75" s="42"/>
      <c r="BE75" s="42"/>
      <c r="BF75" s="42"/>
      <c r="BG75" s="42"/>
      <c r="BH75" s="42"/>
      <c r="BI75" s="42"/>
    </row>
    <row r="76" spans="1:61" ht="15" thickBot="1" x14ac:dyDescent="0.35">
      <c r="A76" s="11" t="s">
        <v>0</v>
      </c>
      <c r="B76" s="5" t="s">
        <v>8</v>
      </c>
      <c r="C76" s="6" t="s">
        <v>9</v>
      </c>
      <c r="D76" s="7" t="s">
        <v>8</v>
      </c>
      <c r="E76" s="6" t="s">
        <v>9</v>
      </c>
      <c r="F76" s="7" t="s">
        <v>8</v>
      </c>
      <c r="G76" s="6" t="s">
        <v>9</v>
      </c>
      <c r="H76" s="7" t="s">
        <v>8</v>
      </c>
      <c r="I76" s="6" t="s">
        <v>9</v>
      </c>
      <c r="J76" s="60"/>
      <c r="K76" s="43"/>
      <c r="L76" s="11" t="s">
        <v>0</v>
      </c>
      <c r="M76" s="5" t="s">
        <v>8</v>
      </c>
      <c r="N76" s="6" t="s">
        <v>9</v>
      </c>
      <c r="O76" s="7" t="s">
        <v>8</v>
      </c>
      <c r="P76" s="6" t="s">
        <v>9</v>
      </c>
      <c r="Q76" s="7" t="s">
        <v>8</v>
      </c>
      <c r="R76" s="6" t="s">
        <v>9</v>
      </c>
      <c r="S76" s="7" t="s">
        <v>8</v>
      </c>
      <c r="T76" s="6" t="s">
        <v>9</v>
      </c>
      <c r="U76" s="59"/>
      <c r="V76" s="43"/>
      <c r="W76" s="11" t="s">
        <v>0</v>
      </c>
      <c r="X76" s="5" t="s">
        <v>8</v>
      </c>
      <c r="Y76" s="6" t="s">
        <v>9</v>
      </c>
      <c r="Z76" s="7" t="s">
        <v>8</v>
      </c>
      <c r="AA76" s="6" t="s">
        <v>9</v>
      </c>
      <c r="AB76" s="7" t="s">
        <v>8</v>
      </c>
      <c r="AC76" s="6" t="s">
        <v>9</v>
      </c>
      <c r="AD76" s="7" t="s">
        <v>8</v>
      </c>
      <c r="AE76" s="6" t="s">
        <v>9</v>
      </c>
      <c r="AF76" s="59"/>
      <c r="AG76" s="43"/>
      <c r="AH76" s="11" t="s">
        <v>0</v>
      </c>
      <c r="AI76" s="5" t="s">
        <v>8</v>
      </c>
      <c r="AJ76" s="6" t="s">
        <v>9</v>
      </c>
      <c r="AK76" s="7" t="s">
        <v>8</v>
      </c>
      <c r="AL76" s="6" t="s">
        <v>9</v>
      </c>
      <c r="AM76" s="7" t="s">
        <v>8</v>
      </c>
      <c r="AN76" s="6" t="s">
        <v>9</v>
      </c>
      <c r="AO76" s="7" t="s">
        <v>8</v>
      </c>
      <c r="AP76" s="6" t="s">
        <v>9</v>
      </c>
      <c r="AQ76" s="59"/>
      <c r="AR76" s="43"/>
      <c r="AS76" s="11" t="s">
        <v>0</v>
      </c>
      <c r="AT76" s="5" t="s">
        <v>8</v>
      </c>
      <c r="AU76" s="6" t="s">
        <v>9</v>
      </c>
      <c r="AV76" s="7" t="s">
        <v>8</v>
      </c>
      <c r="AW76" s="6" t="s">
        <v>9</v>
      </c>
      <c r="AX76" s="7" t="s">
        <v>8</v>
      </c>
      <c r="AY76" s="6" t="s">
        <v>9</v>
      </c>
      <c r="AZ76" s="7" t="s">
        <v>8</v>
      </c>
      <c r="BA76" s="6" t="s">
        <v>9</v>
      </c>
      <c r="BB76" s="58"/>
      <c r="BC76" s="42"/>
      <c r="BD76" s="42"/>
      <c r="BE76" s="42"/>
      <c r="BF76" s="42"/>
      <c r="BG76" s="42"/>
      <c r="BH76" s="42"/>
      <c r="BI76" s="42"/>
    </row>
    <row r="77" spans="1:61" ht="15" thickTop="1" x14ac:dyDescent="0.3">
      <c r="A77" s="1" t="s">
        <v>4</v>
      </c>
      <c r="B77" s="28">
        <v>3</v>
      </c>
      <c r="C77" s="19">
        <v>3</v>
      </c>
      <c r="D77" s="18">
        <v>3</v>
      </c>
      <c r="E77" s="23">
        <v>2</v>
      </c>
      <c r="F77" s="24">
        <v>1</v>
      </c>
      <c r="G77" s="17">
        <v>4</v>
      </c>
      <c r="H77" s="8" t="s">
        <v>18</v>
      </c>
      <c r="I77" s="9" t="s">
        <v>18</v>
      </c>
      <c r="J77" s="60">
        <f t="shared" si="0"/>
        <v>4</v>
      </c>
      <c r="K77" s="44">
        <f>IF(A73=TRUE,J77*I73,0)</f>
        <v>0</v>
      </c>
      <c r="L77" s="1" t="s">
        <v>4</v>
      </c>
      <c r="M77" s="16">
        <v>4</v>
      </c>
      <c r="N77" s="17">
        <v>4</v>
      </c>
      <c r="O77" s="18">
        <v>3</v>
      </c>
      <c r="P77" s="23">
        <v>2</v>
      </c>
      <c r="Q77" s="24">
        <v>1</v>
      </c>
      <c r="R77" s="17">
        <v>4</v>
      </c>
      <c r="S77" s="8" t="s">
        <v>18</v>
      </c>
      <c r="T77" s="9" t="s">
        <v>18</v>
      </c>
      <c r="U77" s="60">
        <f>MAX(M77:T77)</f>
        <v>4</v>
      </c>
      <c r="V77" s="44">
        <f>IF($A$73=TRUE,U77*$I$73,0)</f>
        <v>0</v>
      </c>
      <c r="W77" s="1" t="s">
        <v>4</v>
      </c>
      <c r="X77" s="16">
        <v>4</v>
      </c>
      <c r="Y77" s="17">
        <v>4</v>
      </c>
      <c r="Z77" s="18">
        <v>3</v>
      </c>
      <c r="AA77" s="23">
        <v>2</v>
      </c>
      <c r="AB77" s="24">
        <v>1</v>
      </c>
      <c r="AC77" s="17">
        <v>4</v>
      </c>
      <c r="AD77" s="8" t="s">
        <v>18</v>
      </c>
      <c r="AE77" s="9" t="s">
        <v>18</v>
      </c>
      <c r="AF77" s="60">
        <f>MAX(X77:AE77)</f>
        <v>4</v>
      </c>
      <c r="AG77" s="44">
        <f>IF($A$73=TRUE,AF77*$I$73,0)</f>
        <v>0</v>
      </c>
      <c r="AH77" s="1" t="s">
        <v>4</v>
      </c>
      <c r="AI77" s="16">
        <v>4</v>
      </c>
      <c r="AJ77" s="17">
        <v>4</v>
      </c>
      <c r="AK77" s="18">
        <v>3</v>
      </c>
      <c r="AL77" s="23">
        <v>2</v>
      </c>
      <c r="AM77" s="24">
        <v>1</v>
      </c>
      <c r="AN77" s="17">
        <v>4</v>
      </c>
      <c r="AO77" s="8" t="s">
        <v>18</v>
      </c>
      <c r="AP77" s="9" t="s">
        <v>18</v>
      </c>
      <c r="AQ77" s="60">
        <f>MAX(AI77:AP77)</f>
        <v>4</v>
      </c>
      <c r="AR77" s="44">
        <f>IF($A$73=TRUE,AQ77*$I$73,0)</f>
        <v>0</v>
      </c>
      <c r="AS77" s="1" t="s">
        <v>4</v>
      </c>
      <c r="AT77" s="8" t="s">
        <v>18</v>
      </c>
      <c r="AU77" s="9" t="s">
        <v>18</v>
      </c>
      <c r="AV77" s="8" t="s">
        <v>18</v>
      </c>
      <c r="AW77" s="9" t="s">
        <v>18</v>
      </c>
      <c r="AX77" s="8" t="s">
        <v>18</v>
      </c>
      <c r="AY77" s="9" t="s">
        <v>18</v>
      </c>
      <c r="AZ77" s="8" t="s">
        <v>18</v>
      </c>
      <c r="BA77" s="9" t="s">
        <v>18</v>
      </c>
      <c r="BB77" s="60">
        <f>MAX(AT77:BA77)</f>
        <v>0</v>
      </c>
      <c r="BC77" s="44">
        <f>IF($A73=TRUE,BB77*$I73,0)</f>
        <v>0</v>
      </c>
      <c r="BD77" s="44"/>
      <c r="BE77" s="44"/>
      <c r="BF77" s="44"/>
      <c r="BG77" s="44"/>
      <c r="BH77" s="44"/>
      <c r="BI77" s="44"/>
    </row>
    <row r="78" spans="1:61" x14ac:dyDescent="0.3">
      <c r="A78" s="1" t="s">
        <v>5</v>
      </c>
      <c r="B78" s="28">
        <v>4</v>
      </c>
      <c r="C78" s="19">
        <v>4</v>
      </c>
      <c r="D78" s="8" t="s">
        <v>18</v>
      </c>
      <c r="E78" s="9" t="s">
        <v>18</v>
      </c>
      <c r="F78" s="24">
        <v>1</v>
      </c>
      <c r="G78" s="23">
        <v>2</v>
      </c>
      <c r="H78" s="8" t="s">
        <v>18</v>
      </c>
      <c r="I78" s="9" t="s">
        <v>18</v>
      </c>
      <c r="J78" s="60">
        <f t="shared" si="0"/>
        <v>4</v>
      </c>
      <c r="K78" s="44">
        <f>IF(A73=TRUE,J78*I73,0)</f>
        <v>0</v>
      </c>
      <c r="L78" s="1" t="s">
        <v>5</v>
      </c>
      <c r="M78" s="16">
        <v>4</v>
      </c>
      <c r="N78" s="17">
        <v>4</v>
      </c>
      <c r="O78" s="8" t="s">
        <v>18</v>
      </c>
      <c r="P78" s="9" t="s">
        <v>18</v>
      </c>
      <c r="Q78" s="24">
        <v>1</v>
      </c>
      <c r="R78" s="23">
        <v>2</v>
      </c>
      <c r="S78" s="8" t="s">
        <v>18</v>
      </c>
      <c r="T78" s="9" t="s">
        <v>18</v>
      </c>
      <c r="U78" s="60">
        <f t="shared" ref="U78:U86" si="8">MAX(M78:T78)</f>
        <v>4</v>
      </c>
      <c r="V78" s="44">
        <f t="shared" ref="V78:V86" si="9">IF($A$73=TRUE,U78*$I$73,0)</f>
        <v>0</v>
      </c>
      <c r="W78" s="1" t="s">
        <v>5</v>
      </c>
      <c r="X78" s="16">
        <v>4</v>
      </c>
      <c r="Y78" s="17">
        <v>4</v>
      </c>
      <c r="Z78" s="8" t="s">
        <v>18</v>
      </c>
      <c r="AA78" s="9" t="s">
        <v>18</v>
      </c>
      <c r="AB78" s="24">
        <v>1</v>
      </c>
      <c r="AC78" s="23">
        <v>2</v>
      </c>
      <c r="AD78" s="8" t="s">
        <v>18</v>
      </c>
      <c r="AE78" s="9" t="s">
        <v>18</v>
      </c>
      <c r="AF78" s="60">
        <f t="shared" ref="AF78:AF86" si="10">MAX(X78:AE78)</f>
        <v>4</v>
      </c>
      <c r="AG78" s="44">
        <f t="shared" ref="AG78:AG86" si="11">IF($A$73=TRUE,AF78*$I$73,0)</f>
        <v>0</v>
      </c>
      <c r="AH78" s="1" t="s">
        <v>5</v>
      </c>
      <c r="AI78" s="16">
        <v>4</v>
      </c>
      <c r="AJ78" s="17">
        <v>4</v>
      </c>
      <c r="AK78" s="8" t="s">
        <v>18</v>
      </c>
      <c r="AL78" s="9" t="s">
        <v>18</v>
      </c>
      <c r="AM78" s="24">
        <v>1</v>
      </c>
      <c r="AN78" s="23">
        <v>2</v>
      </c>
      <c r="AO78" s="8" t="s">
        <v>18</v>
      </c>
      <c r="AP78" s="9" t="s">
        <v>18</v>
      </c>
      <c r="AQ78" s="60">
        <f t="shared" ref="AQ78:AQ86" si="12">MAX(AI78:AP78)</f>
        <v>4</v>
      </c>
      <c r="AR78" s="44">
        <f t="shared" ref="AR78:AR86" si="13">IF($A$73=TRUE,AQ78*$I$73,0)</f>
        <v>0</v>
      </c>
      <c r="AS78" s="1" t="s">
        <v>5</v>
      </c>
      <c r="AT78" s="8" t="s">
        <v>18</v>
      </c>
      <c r="AU78" s="9" t="s">
        <v>18</v>
      </c>
      <c r="AV78" s="8" t="s">
        <v>18</v>
      </c>
      <c r="AW78" s="9" t="s">
        <v>18</v>
      </c>
      <c r="AX78" s="8" t="s">
        <v>18</v>
      </c>
      <c r="AY78" s="9" t="s">
        <v>18</v>
      </c>
      <c r="AZ78" s="8" t="s">
        <v>18</v>
      </c>
      <c r="BA78" s="9" t="s">
        <v>18</v>
      </c>
      <c r="BB78" s="60">
        <f t="shared" ref="BB78:BB86" si="14">MAX(AT78:BA78)</f>
        <v>0</v>
      </c>
      <c r="BC78" s="44">
        <f>IF($A73=TRUE,BB78*$I73,0)</f>
        <v>0</v>
      </c>
      <c r="BD78" s="44"/>
      <c r="BE78" s="44"/>
      <c r="BF78" s="44"/>
      <c r="BG78" s="44"/>
      <c r="BH78" s="44"/>
      <c r="BI78" s="44"/>
    </row>
    <row r="79" spans="1:61" x14ac:dyDescent="0.3">
      <c r="A79" s="1" t="s">
        <v>6</v>
      </c>
      <c r="B79" s="31">
        <v>3</v>
      </c>
      <c r="C79" s="17">
        <v>4</v>
      </c>
      <c r="D79" s="8" t="s">
        <v>18</v>
      </c>
      <c r="E79" s="9" t="s">
        <v>18</v>
      </c>
      <c r="F79" s="24">
        <v>1</v>
      </c>
      <c r="G79" s="23">
        <v>2</v>
      </c>
      <c r="H79" s="8" t="s">
        <v>18</v>
      </c>
      <c r="I79" s="9" t="s">
        <v>18</v>
      </c>
      <c r="J79" s="60">
        <f t="shared" si="0"/>
        <v>4</v>
      </c>
      <c r="K79" s="44">
        <f>IF(A73=TRUE,J79*I73,0)</f>
        <v>0</v>
      </c>
      <c r="L79" s="1" t="s">
        <v>6</v>
      </c>
      <c r="M79" s="31">
        <v>3</v>
      </c>
      <c r="N79" s="17">
        <v>4</v>
      </c>
      <c r="O79" s="8" t="s">
        <v>18</v>
      </c>
      <c r="P79" s="9" t="s">
        <v>18</v>
      </c>
      <c r="Q79" s="24">
        <v>1</v>
      </c>
      <c r="R79" s="23">
        <v>2</v>
      </c>
      <c r="S79" s="8" t="s">
        <v>18</v>
      </c>
      <c r="T79" s="9" t="s">
        <v>18</v>
      </c>
      <c r="U79" s="60">
        <f t="shared" si="8"/>
        <v>4</v>
      </c>
      <c r="V79" s="44">
        <f t="shared" si="9"/>
        <v>0</v>
      </c>
      <c r="W79" s="1" t="s">
        <v>6</v>
      </c>
      <c r="X79" s="31">
        <v>3</v>
      </c>
      <c r="Y79" s="17">
        <v>4</v>
      </c>
      <c r="Z79" s="8" t="s">
        <v>18</v>
      </c>
      <c r="AA79" s="9" t="s">
        <v>18</v>
      </c>
      <c r="AB79" s="24">
        <v>1</v>
      </c>
      <c r="AC79" s="23">
        <v>2</v>
      </c>
      <c r="AD79" s="8" t="s">
        <v>18</v>
      </c>
      <c r="AE79" s="9" t="s">
        <v>18</v>
      </c>
      <c r="AF79" s="60">
        <f t="shared" si="10"/>
        <v>4</v>
      </c>
      <c r="AG79" s="44">
        <f t="shared" si="11"/>
        <v>0</v>
      </c>
      <c r="AH79" s="1" t="s">
        <v>6</v>
      </c>
      <c r="AI79" s="31">
        <v>3</v>
      </c>
      <c r="AJ79" s="17">
        <v>4</v>
      </c>
      <c r="AK79" s="8" t="s">
        <v>18</v>
      </c>
      <c r="AL79" s="9" t="s">
        <v>18</v>
      </c>
      <c r="AM79" s="24">
        <v>1</v>
      </c>
      <c r="AN79" s="23">
        <v>2</v>
      </c>
      <c r="AO79" s="8" t="s">
        <v>18</v>
      </c>
      <c r="AP79" s="9" t="s">
        <v>18</v>
      </c>
      <c r="AQ79" s="60">
        <f t="shared" si="12"/>
        <v>4</v>
      </c>
      <c r="AR79" s="44">
        <f t="shared" si="13"/>
        <v>0</v>
      </c>
      <c r="AS79" s="1" t="s">
        <v>6</v>
      </c>
      <c r="AT79" s="8" t="s">
        <v>18</v>
      </c>
      <c r="AU79" s="9" t="s">
        <v>18</v>
      </c>
      <c r="AV79" s="8" t="s">
        <v>18</v>
      </c>
      <c r="AW79" s="9" t="s">
        <v>18</v>
      </c>
      <c r="AX79" s="8" t="s">
        <v>18</v>
      </c>
      <c r="AY79" s="9" t="s">
        <v>18</v>
      </c>
      <c r="AZ79" s="8" t="s">
        <v>18</v>
      </c>
      <c r="BA79" s="9" t="s">
        <v>18</v>
      </c>
      <c r="BB79" s="60">
        <f t="shared" si="14"/>
        <v>0</v>
      </c>
      <c r="BC79" s="44">
        <f>IF($A73=TRUE,BB79*$I73,0)</f>
        <v>0</v>
      </c>
      <c r="BD79" s="44"/>
      <c r="BE79" s="44"/>
      <c r="BF79" s="44"/>
      <c r="BG79" s="44"/>
      <c r="BH79" s="44"/>
      <c r="BI79" s="44"/>
    </row>
    <row r="80" spans="1:61" x14ac:dyDescent="0.3">
      <c r="A80" s="1" t="s">
        <v>1</v>
      </c>
      <c r="B80" s="8" t="s">
        <v>18</v>
      </c>
      <c r="C80" s="9" t="s">
        <v>18</v>
      </c>
      <c r="D80" s="8" t="s">
        <v>18</v>
      </c>
      <c r="E80" s="9" t="s">
        <v>18</v>
      </c>
      <c r="F80" s="8" t="s">
        <v>18</v>
      </c>
      <c r="G80" s="9" t="s">
        <v>18</v>
      </c>
      <c r="H80" s="29">
        <v>2</v>
      </c>
      <c r="I80" s="23">
        <v>2</v>
      </c>
      <c r="J80" s="60">
        <f t="shared" si="0"/>
        <v>2</v>
      </c>
      <c r="K80" s="44">
        <f>IF(A73=TRUE,J80*I73,0)</f>
        <v>0</v>
      </c>
      <c r="L80" s="1" t="s">
        <v>1</v>
      </c>
      <c r="M80" s="8" t="s">
        <v>18</v>
      </c>
      <c r="N80" s="9" t="s">
        <v>18</v>
      </c>
      <c r="O80" s="8" t="s">
        <v>18</v>
      </c>
      <c r="P80" s="9" t="s">
        <v>18</v>
      </c>
      <c r="Q80" s="8" t="s">
        <v>18</v>
      </c>
      <c r="R80" s="9" t="s">
        <v>18</v>
      </c>
      <c r="S80" s="47">
        <v>4</v>
      </c>
      <c r="T80" s="48">
        <v>4</v>
      </c>
      <c r="U80" s="60">
        <f t="shared" si="8"/>
        <v>4</v>
      </c>
      <c r="V80" s="44">
        <f t="shared" si="9"/>
        <v>0</v>
      </c>
      <c r="W80" s="1" t="s">
        <v>1</v>
      </c>
      <c r="X80" s="8" t="s">
        <v>18</v>
      </c>
      <c r="Y80" s="9" t="s">
        <v>18</v>
      </c>
      <c r="Z80" s="8" t="s">
        <v>18</v>
      </c>
      <c r="AA80" s="9" t="s">
        <v>18</v>
      </c>
      <c r="AB80" s="8" t="s">
        <v>18</v>
      </c>
      <c r="AC80" s="9" t="s">
        <v>18</v>
      </c>
      <c r="AD80" s="47">
        <v>4</v>
      </c>
      <c r="AE80" s="48">
        <v>4</v>
      </c>
      <c r="AF80" s="60">
        <f t="shared" si="10"/>
        <v>4</v>
      </c>
      <c r="AG80" s="44">
        <f t="shared" si="11"/>
        <v>0</v>
      </c>
      <c r="AH80" s="1" t="s">
        <v>1</v>
      </c>
      <c r="AI80" s="8" t="s">
        <v>18</v>
      </c>
      <c r="AJ80" s="9" t="s">
        <v>18</v>
      </c>
      <c r="AK80" s="8" t="s">
        <v>18</v>
      </c>
      <c r="AL80" s="9" t="s">
        <v>18</v>
      </c>
      <c r="AM80" s="8" t="s">
        <v>18</v>
      </c>
      <c r="AN80" s="9" t="s">
        <v>18</v>
      </c>
      <c r="AO80" s="27">
        <v>5</v>
      </c>
      <c r="AP80" s="48">
        <v>4</v>
      </c>
      <c r="AQ80" s="60">
        <f t="shared" si="12"/>
        <v>5</v>
      </c>
      <c r="AR80" s="44">
        <f t="shared" si="13"/>
        <v>0</v>
      </c>
      <c r="AS80" s="1" t="s">
        <v>1</v>
      </c>
      <c r="AT80" s="8" t="s">
        <v>18</v>
      </c>
      <c r="AU80" s="9" t="s">
        <v>18</v>
      </c>
      <c r="AV80" s="8" t="s">
        <v>18</v>
      </c>
      <c r="AW80" s="9" t="s">
        <v>18</v>
      </c>
      <c r="AX80" s="8" t="s">
        <v>18</v>
      </c>
      <c r="AY80" s="9" t="s">
        <v>18</v>
      </c>
      <c r="AZ80" s="8" t="s">
        <v>18</v>
      </c>
      <c r="BA80" s="9" t="s">
        <v>18</v>
      </c>
      <c r="BB80" s="60">
        <f t="shared" si="14"/>
        <v>0</v>
      </c>
      <c r="BC80" s="44">
        <f>IF($A73=TRUE,BB80*$I73,0)</f>
        <v>0</v>
      </c>
      <c r="BD80" s="44"/>
      <c r="BE80" s="44"/>
      <c r="BF80" s="44"/>
      <c r="BG80" s="44"/>
      <c r="BH80" s="44"/>
      <c r="BI80" s="44"/>
    </row>
    <row r="81" spans="1:61" x14ac:dyDescent="0.3">
      <c r="A81" s="1" t="s">
        <v>16</v>
      </c>
      <c r="B81" s="8" t="s">
        <v>18</v>
      </c>
      <c r="C81" s="9" t="s">
        <v>18</v>
      </c>
      <c r="D81" s="8" t="s">
        <v>18</v>
      </c>
      <c r="E81" s="9" t="s">
        <v>18</v>
      </c>
      <c r="F81" s="8" t="s">
        <v>18</v>
      </c>
      <c r="G81" s="23">
        <v>2</v>
      </c>
      <c r="H81" s="8" t="s">
        <v>18</v>
      </c>
      <c r="I81" s="23">
        <v>2</v>
      </c>
      <c r="J81" s="60">
        <f t="shared" si="0"/>
        <v>2</v>
      </c>
      <c r="K81" s="44">
        <f>IF(A73=TRUE,J81*I73,0)</f>
        <v>0</v>
      </c>
      <c r="L81" s="1" t="s">
        <v>16</v>
      </c>
      <c r="M81" s="8" t="s">
        <v>18</v>
      </c>
      <c r="N81" s="9" t="s">
        <v>18</v>
      </c>
      <c r="O81" s="8" t="s">
        <v>18</v>
      </c>
      <c r="P81" s="9" t="s">
        <v>18</v>
      </c>
      <c r="Q81" s="8" t="s">
        <v>18</v>
      </c>
      <c r="R81" s="23">
        <v>2</v>
      </c>
      <c r="S81" s="8" t="s">
        <v>18</v>
      </c>
      <c r="T81" s="23">
        <v>2</v>
      </c>
      <c r="U81" s="60">
        <f t="shared" si="8"/>
        <v>2</v>
      </c>
      <c r="V81" s="44">
        <f t="shared" si="9"/>
        <v>0</v>
      </c>
      <c r="W81" s="1" t="s">
        <v>16</v>
      </c>
      <c r="X81" s="8" t="s">
        <v>18</v>
      </c>
      <c r="Y81" s="9" t="s">
        <v>18</v>
      </c>
      <c r="Z81" s="8" t="s">
        <v>18</v>
      </c>
      <c r="AA81" s="9" t="s">
        <v>18</v>
      </c>
      <c r="AB81" s="8" t="s">
        <v>18</v>
      </c>
      <c r="AC81" s="23">
        <v>2</v>
      </c>
      <c r="AD81" s="8" t="s">
        <v>18</v>
      </c>
      <c r="AE81" s="23">
        <v>2</v>
      </c>
      <c r="AF81" s="60">
        <f t="shared" si="10"/>
        <v>2</v>
      </c>
      <c r="AG81" s="44">
        <f t="shared" si="11"/>
        <v>0</v>
      </c>
      <c r="AH81" s="1" t="s">
        <v>16</v>
      </c>
      <c r="AI81" s="8" t="s">
        <v>18</v>
      </c>
      <c r="AJ81" s="9" t="s">
        <v>18</v>
      </c>
      <c r="AK81" s="8" t="s">
        <v>18</v>
      </c>
      <c r="AL81" s="9" t="s">
        <v>18</v>
      </c>
      <c r="AM81" s="8" t="s">
        <v>18</v>
      </c>
      <c r="AN81" s="23">
        <v>2</v>
      </c>
      <c r="AO81" s="8" t="s">
        <v>18</v>
      </c>
      <c r="AP81" s="23">
        <v>2</v>
      </c>
      <c r="AQ81" s="60">
        <f t="shared" si="12"/>
        <v>2</v>
      </c>
      <c r="AR81" s="44">
        <f t="shared" si="13"/>
        <v>0</v>
      </c>
      <c r="AS81" s="1" t="s">
        <v>16</v>
      </c>
      <c r="AT81" s="8" t="s">
        <v>18</v>
      </c>
      <c r="AU81" s="9" t="s">
        <v>18</v>
      </c>
      <c r="AV81" s="8" t="s">
        <v>18</v>
      </c>
      <c r="AW81" s="9" t="s">
        <v>18</v>
      </c>
      <c r="AX81" s="8" t="s">
        <v>18</v>
      </c>
      <c r="AY81" s="9" t="s">
        <v>18</v>
      </c>
      <c r="AZ81" s="8" t="s">
        <v>18</v>
      </c>
      <c r="BA81" s="9" t="s">
        <v>18</v>
      </c>
      <c r="BB81" s="60">
        <f t="shared" si="14"/>
        <v>0</v>
      </c>
      <c r="BC81" s="44">
        <f>IF($A73=TRUE,BB81*$I73,0)</f>
        <v>0</v>
      </c>
      <c r="BD81" s="44"/>
      <c r="BE81" s="44"/>
      <c r="BF81" s="44"/>
      <c r="BG81" s="44"/>
      <c r="BH81" s="44"/>
      <c r="BI81" s="44"/>
    </row>
    <row r="82" spans="1:61" x14ac:dyDescent="0.3">
      <c r="A82" s="1" t="s">
        <v>17</v>
      </c>
      <c r="B82" s="8" t="s">
        <v>18</v>
      </c>
      <c r="C82" s="9" t="s">
        <v>18</v>
      </c>
      <c r="D82" s="29">
        <v>2</v>
      </c>
      <c r="E82" s="23">
        <v>2</v>
      </c>
      <c r="F82" s="8" t="s">
        <v>18</v>
      </c>
      <c r="G82" s="9" t="s">
        <v>18</v>
      </c>
      <c r="H82" s="29">
        <v>2</v>
      </c>
      <c r="I82" s="23">
        <v>2</v>
      </c>
      <c r="J82" s="60">
        <f t="shared" si="0"/>
        <v>2</v>
      </c>
      <c r="K82" s="44">
        <f>IF(A73=TRUE,J82*I73,0)</f>
        <v>0</v>
      </c>
      <c r="L82" s="1" t="s">
        <v>17</v>
      </c>
      <c r="M82" s="8" t="s">
        <v>18</v>
      </c>
      <c r="N82" s="9" t="s">
        <v>18</v>
      </c>
      <c r="O82" s="28">
        <v>3</v>
      </c>
      <c r="P82" s="19">
        <v>3</v>
      </c>
      <c r="Q82" s="8" t="s">
        <v>18</v>
      </c>
      <c r="R82" s="9" t="s">
        <v>18</v>
      </c>
      <c r="S82" s="29">
        <v>2</v>
      </c>
      <c r="T82" s="23">
        <v>2</v>
      </c>
      <c r="U82" s="60">
        <f t="shared" si="8"/>
        <v>3</v>
      </c>
      <c r="V82" s="44">
        <f t="shared" si="9"/>
        <v>0</v>
      </c>
      <c r="W82" s="1" t="s">
        <v>17</v>
      </c>
      <c r="X82" s="8" t="s">
        <v>18</v>
      </c>
      <c r="Y82" s="9" t="s">
        <v>18</v>
      </c>
      <c r="Z82" s="28">
        <v>3</v>
      </c>
      <c r="AA82" s="19">
        <v>3</v>
      </c>
      <c r="AB82" s="8" t="s">
        <v>18</v>
      </c>
      <c r="AC82" s="9" t="s">
        <v>18</v>
      </c>
      <c r="AD82" s="29">
        <v>2</v>
      </c>
      <c r="AE82" s="23">
        <v>2</v>
      </c>
      <c r="AF82" s="60">
        <f t="shared" si="10"/>
        <v>3</v>
      </c>
      <c r="AG82" s="44">
        <f t="shared" si="11"/>
        <v>0</v>
      </c>
      <c r="AH82" s="1" t="s">
        <v>17</v>
      </c>
      <c r="AI82" s="8" t="s">
        <v>18</v>
      </c>
      <c r="AJ82" s="9" t="s">
        <v>18</v>
      </c>
      <c r="AK82" s="28">
        <v>3</v>
      </c>
      <c r="AL82" s="19">
        <v>3</v>
      </c>
      <c r="AM82" s="8" t="s">
        <v>18</v>
      </c>
      <c r="AN82" s="9" t="s">
        <v>18</v>
      </c>
      <c r="AO82" s="29">
        <v>2</v>
      </c>
      <c r="AP82" s="23">
        <v>2</v>
      </c>
      <c r="AQ82" s="60">
        <f t="shared" si="12"/>
        <v>3</v>
      </c>
      <c r="AR82" s="44">
        <f t="shared" si="13"/>
        <v>0</v>
      </c>
      <c r="AS82" s="1" t="s">
        <v>17</v>
      </c>
      <c r="AT82" s="8" t="s">
        <v>18</v>
      </c>
      <c r="AU82" s="9" t="s">
        <v>18</v>
      </c>
      <c r="AV82" s="16">
        <v>4</v>
      </c>
      <c r="AW82" s="17">
        <v>4</v>
      </c>
      <c r="AX82" s="8" t="s">
        <v>18</v>
      </c>
      <c r="AY82" s="9" t="s">
        <v>18</v>
      </c>
      <c r="AZ82" s="53">
        <v>5</v>
      </c>
      <c r="BA82" s="53">
        <v>5</v>
      </c>
      <c r="BB82" s="60">
        <f t="shared" si="14"/>
        <v>5</v>
      </c>
      <c r="BC82" s="44">
        <f>IF($A73=TRUE,BB82*$I73,0)</f>
        <v>0</v>
      </c>
      <c r="BD82" s="44"/>
      <c r="BE82" s="44"/>
      <c r="BF82" s="44"/>
      <c r="BG82" s="44"/>
      <c r="BH82" s="44"/>
      <c r="BI82" s="44"/>
    </row>
    <row r="83" spans="1:61" x14ac:dyDescent="0.3">
      <c r="A83" s="1" t="s">
        <v>2</v>
      </c>
      <c r="B83" s="16">
        <v>4</v>
      </c>
      <c r="C83" s="17">
        <v>4</v>
      </c>
      <c r="D83" s="8" t="s">
        <v>18</v>
      </c>
      <c r="E83" s="9" t="s">
        <v>18</v>
      </c>
      <c r="F83" s="24">
        <v>1</v>
      </c>
      <c r="G83" s="19">
        <v>3</v>
      </c>
      <c r="H83" s="8" t="s">
        <v>18</v>
      </c>
      <c r="I83" s="9" t="s">
        <v>18</v>
      </c>
      <c r="J83" s="60">
        <f t="shared" si="0"/>
        <v>4</v>
      </c>
      <c r="K83" s="44">
        <f>IF(A73=TRUE,J83*I73,0)</f>
        <v>0</v>
      </c>
      <c r="L83" s="1" t="s">
        <v>2</v>
      </c>
      <c r="M83" s="16">
        <v>4</v>
      </c>
      <c r="N83" s="17">
        <v>4</v>
      </c>
      <c r="O83" s="8" t="s">
        <v>18</v>
      </c>
      <c r="P83" s="9" t="s">
        <v>18</v>
      </c>
      <c r="Q83" s="24">
        <v>1</v>
      </c>
      <c r="R83" s="19">
        <v>3</v>
      </c>
      <c r="S83" s="8" t="s">
        <v>18</v>
      </c>
      <c r="T83" s="9" t="s">
        <v>18</v>
      </c>
      <c r="U83" s="60">
        <f t="shared" si="8"/>
        <v>4</v>
      </c>
      <c r="V83" s="44">
        <f t="shared" si="9"/>
        <v>0</v>
      </c>
      <c r="W83" s="1" t="s">
        <v>2</v>
      </c>
      <c r="X83" s="16">
        <v>4</v>
      </c>
      <c r="Y83" s="17">
        <v>4</v>
      </c>
      <c r="Z83" s="8" t="s">
        <v>18</v>
      </c>
      <c r="AA83" s="9" t="s">
        <v>18</v>
      </c>
      <c r="AB83" s="24">
        <v>1</v>
      </c>
      <c r="AC83" s="19">
        <v>3</v>
      </c>
      <c r="AD83" s="8" t="s">
        <v>18</v>
      </c>
      <c r="AE83" s="9" t="s">
        <v>18</v>
      </c>
      <c r="AF83" s="60">
        <f t="shared" si="10"/>
        <v>4</v>
      </c>
      <c r="AG83" s="44">
        <f t="shared" si="11"/>
        <v>0</v>
      </c>
      <c r="AH83" s="1" t="s">
        <v>2</v>
      </c>
      <c r="AI83" s="16">
        <v>4</v>
      </c>
      <c r="AJ83" s="17">
        <v>4</v>
      </c>
      <c r="AK83" s="8" t="s">
        <v>18</v>
      </c>
      <c r="AL83" s="9" t="s">
        <v>18</v>
      </c>
      <c r="AM83" s="24">
        <v>1</v>
      </c>
      <c r="AN83" s="19">
        <v>3</v>
      </c>
      <c r="AO83" s="8" t="s">
        <v>18</v>
      </c>
      <c r="AP83" s="9" t="s">
        <v>18</v>
      </c>
      <c r="AQ83" s="60">
        <f t="shared" si="12"/>
        <v>4</v>
      </c>
      <c r="AR83" s="44">
        <f t="shared" si="13"/>
        <v>0</v>
      </c>
      <c r="AS83" s="1" t="s">
        <v>2</v>
      </c>
      <c r="AT83" s="8" t="s">
        <v>18</v>
      </c>
      <c r="AU83" s="9" t="s">
        <v>18</v>
      </c>
      <c r="AV83" s="8" t="s">
        <v>18</v>
      </c>
      <c r="AW83" s="9" t="s">
        <v>18</v>
      </c>
      <c r="AX83" s="8" t="s">
        <v>18</v>
      </c>
      <c r="AY83" s="9" t="s">
        <v>18</v>
      </c>
      <c r="AZ83" s="8" t="s">
        <v>18</v>
      </c>
      <c r="BA83" s="9" t="s">
        <v>18</v>
      </c>
      <c r="BB83" s="60">
        <f t="shared" si="14"/>
        <v>0</v>
      </c>
      <c r="BC83" s="44">
        <f>IF($A73=TRUE,BB83*$I73,0)</f>
        <v>0</v>
      </c>
      <c r="BD83" s="44"/>
      <c r="BE83" s="44"/>
      <c r="BF83" s="44"/>
      <c r="BG83" s="44"/>
      <c r="BH83" s="44"/>
      <c r="BI83" s="44"/>
    </row>
    <row r="84" spans="1:61" x14ac:dyDescent="0.3">
      <c r="A84" s="1" t="s">
        <v>20</v>
      </c>
      <c r="B84" s="8" t="s">
        <v>18</v>
      </c>
      <c r="C84" s="9" t="s">
        <v>18</v>
      </c>
      <c r="D84" s="12" t="s">
        <v>18</v>
      </c>
      <c r="E84" s="26">
        <v>5</v>
      </c>
      <c r="F84" s="8" t="s">
        <v>18</v>
      </c>
      <c r="G84" s="9" t="s">
        <v>18</v>
      </c>
      <c r="H84" s="12" t="s">
        <v>18</v>
      </c>
      <c r="I84" s="26">
        <v>5</v>
      </c>
      <c r="J84" s="60">
        <f t="shared" si="0"/>
        <v>5</v>
      </c>
      <c r="K84" s="44">
        <f>IF(A73=TRUE,J84*I73,0)</f>
        <v>0</v>
      </c>
      <c r="L84" s="1" t="s">
        <v>20</v>
      </c>
      <c r="M84" s="8" t="s">
        <v>18</v>
      </c>
      <c r="N84" s="9" t="s">
        <v>18</v>
      </c>
      <c r="O84" s="12" t="s">
        <v>18</v>
      </c>
      <c r="P84" s="26">
        <v>5</v>
      </c>
      <c r="Q84" s="8" t="s">
        <v>18</v>
      </c>
      <c r="R84" s="9" t="s">
        <v>18</v>
      </c>
      <c r="S84" s="12" t="s">
        <v>18</v>
      </c>
      <c r="T84" s="26">
        <v>5</v>
      </c>
      <c r="U84" s="60">
        <f t="shared" si="8"/>
        <v>5</v>
      </c>
      <c r="V84" s="44">
        <f t="shared" si="9"/>
        <v>0</v>
      </c>
      <c r="W84" s="1" t="s">
        <v>20</v>
      </c>
      <c r="X84" s="8" t="s">
        <v>18</v>
      </c>
      <c r="Y84" s="9" t="s">
        <v>18</v>
      </c>
      <c r="Z84" s="12" t="s">
        <v>18</v>
      </c>
      <c r="AA84" s="26">
        <v>5</v>
      </c>
      <c r="AB84" s="8" t="s">
        <v>18</v>
      </c>
      <c r="AC84" s="9" t="s">
        <v>18</v>
      </c>
      <c r="AD84" s="12" t="s">
        <v>18</v>
      </c>
      <c r="AE84" s="26">
        <v>5</v>
      </c>
      <c r="AF84" s="60">
        <f t="shared" si="10"/>
        <v>5</v>
      </c>
      <c r="AG84" s="44">
        <f t="shared" si="11"/>
        <v>0</v>
      </c>
      <c r="AH84" s="1" t="s">
        <v>20</v>
      </c>
      <c r="AI84" s="8" t="s">
        <v>18</v>
      </c>
      <c r="AJ84" s="9" t="s">
        <v>18</v>
      </c>
      <c r="AK84" s="12" t="s">
        <v>18</v>
      </c>
      <c r="AL84" s="26">
        <v>5</v>
      </c>
      <c r="AM84" s="8" t="s">
        <v>18</v>
      </c>
      <c r="AN84" s="9" t="s">
        <v>18</v>
      </c>
      <c r="AO84" s="12" t="s">
        <v>18</v>
      </c>
      <c r="AP84" s="26">
        <v>5</v>
      </c>
      <c r="AQ84" s="60">
        <f t="shared" si="12"/>
        <v>5</v>
      </c>
      <c r="AR84" s="44">
        <f t="shared" si="13"/>
        <v>0</v>
      </c>
      <c r="AS84" s="1" t="s">
        <v>20</v>
      </c>
      <c r="AT84" s="8" t="s">
        <v>18</v>
      </c>
      <c r="AU84" s="9" t="s">
        <v>18</v>
      </c>
      <c r="AV84" s="8" t="s">
        <v>18</v>
      </c>
      <c r="AW84" s="9" t="s">
        <v>18</v>
      </c>
      <c r="AX84" s="8" t="s">
        <v>18</v>
      </c>
      <c r="AY84" s="9" t="s">
        <v>18</v>
      </c>
      <c r="AZ84" s="8" t="s">
        <v>18</v>
      </c>
      <c r="BA84" s="9" t="s">
        <v>18</v>
      </c>
      <c r="BB84" s="60">
        <f t="shared" si="14"/>
        <v>0</v>
      </c>
      <c r="BC84" s="44">
        <f>IF($A73=TRUE,BB84*$I73,0)</f>
        <v>0</v>
      </c>
      <c r="BD84" s="44"/>
      <c r="BE84" s="44"/>
      <c r="BF84" s="44"/>
      <c r="BG84" s="44"/>
      <c r="BH84" s="44"/>
      <c r="BI84" s="44"/>
    </row>
    <row r="85" spans="1:61" x14ac:dyDescent="0.3">
      <c r="A85" s="1" t="s">
        <v>3</v>
      </c>
      <c r="B85" s="8" t="s">
        <v>18</v>
      </c>
      <c r="C85" s="9" t="s">
        <v>18</v>
      </c>
      <c r="D85" s="29">
        <v>2</v>
      </c>
      <c r="E85" s="22">
        <v>1</v>
      </c>
      <c r="F85" s="8" t="s">
        <v>18</v>
      </c>
      <c r="G85" s="9" t="s">
        <v>18</v>
      </c>
      <c r="H85" s="12" t="s">
        <v>18</v>
      </c>
      <c r="I85" s="9" t="s">
        <v>18</v>
      </c>
      <c r="J85" s="60">
        <f t="shared" si="0"/>
        <v>2</v>
      </c>
      <c r="K85" s="44">
        <f>IF(A73=TRUE,J85*I73,0)</f>
        <v>0</v>
      </c>
      <c r="L85" s="1" t="s">
        <v>3</v>
      </c>
      <c r="M85" s="8" t="s">
        <v>18</v>
      </c>
      <c r="N85" s="9" t="s">
        <v>18</v>
      </c>
      <c r="O85" s="28">
        <v>3</v>
      </c>
      <c r="P85" s="22">
        <v>1</v>
      </c>
      <c r="Q85" s="8" t="s">
        <v>18</v>
      </c>
      <c r="R85" s="9" t="s">
        <v>18</v>
      </c>
      <c r="S85" s="12" t="s">
        <v>18</v>
      </c>
      <c r="T85" s="9" t="s">
        <v>18</v>
      </c>
      <c r="U85" s="60">
        <f t="shared" si="8"/>
        <v>3</v>
      </c>
      <c r="V85" s="44">
        <f t="shared" si="9"/>
        <v>0</v>
      </c>
      <c r="W85" s="1" t="s">
        <v>3</v>
      </c>
      <c r="X85" s="8" t="s">
        <v>18</v>
      </c>
      <c r="Y85" s="9" t="s">
        <v>18</v>
      </c>
      <c r="Z85" s="16">
        <v>4</v>
      </c>
      <c r="AA85" s="22">
        <v>1</v>
      </c>
      <c r="AB85" s="8" t="s">
        <v>18</v>
      </c>
      <c r="AC85" s="9" t="s">
        <v>18</v>
      </c>
      <c r="AD85" s="12" t="s">
        <v>18</v>
      </c>
      <c r="AE85" s="9" t="s">
        <v>18</v>
      </c>
      <c r="AF85" s="60">
        <f t="shared" si="10"/>
        <v>4</v>
      </c>
      <c r="AG85" s="44">
        <f t="shared" si="11"/>
        <v>0</v>
      </c>
      <c r="AH85" s="1" t="s">
        <v>3</v>
      </c>
      <c r="AI85" s="8" t="s">
        <v>18</v>
      </c>
      <c r="AJ85" s="9" t="s">
        <v>18</v>
      </c>
      <c r="AK85" s="29">
        <v>2</v>
      </c>
      <c r="AL85" s="22">
        <v>1</v>
      </c>
      <c r="AM85" s="8" t="s">
        <v>18</v>
      </c>
      <c r="AN85" s="9" t="s">
        <v>18</v>
      </c>
      <c r="AO85" s="12" t="s">
        <v>18</v>
      </c>
      <c r="AP85" s="9" t="s">
        <v>18</v>
      </c>
      <c r="AQ85" s="60">
        <f t="shared" si="12"/>
        <v>2</v>
      </c>
      <c r="AR85" s="44">
        <f t="shared" si="13"/>
        <v>0</v>
      </c>
      <c r="AS85" s="1" t="s">
        <v>3</v>
      </c>
      <c r="AT85" s="8" t="s">
        <v>18</v>
      </c>
      <c r="AU85" s="9" t="s">
        <v>18</v>
      </c>
      <c r="AV85" s="8" t="s">
        <v>18</v>
      </c>
      <c r="AW85" s="9" t="s">
        <v>18</v>
      </c>
      <c r="AX85" s="8" t="s">
        <v>18</v>
      </c>
      <c r="AY85" s="9" t="s">
        <v>18</v>
      </c>
      <c r="AZ85" s="53">
        <v>5</v>
      </c>
      <c r="BA85" s="53">
        <v>5</v>
      </c>
      <c r="BB85" s="60">
        <f t="shared" si="14"/>
        <v>5</v>
      </c>
      <c r="BC85" s="44">
        <f>IF($A73=TRUE,BB85*$I73,0)</f>
        <v>0</v>
      </c>
      <c r="BD85" s="44"/>
      <c r="BE85" s="44"/>
      <c r="BF85" s="44"/>
      <c r="BG85" s="44"/>
      <c r="BH85" s="44"/>
      <c r="BI85" s="44"/>
    </row>
    <row r="86" spans="1:61" x14ac:dyDescent="0.3">
      <c r="A86" s="13" t="s">
        <v>12</v>
      </c>
      <c r="B86" s="14" t="s">
        <v>18</v>
      </c>
      <c r="C86" s="15" t="s">
        <v>18</v>
      </c>
      <c r="D86" s="40">
        <v>2</v>
      </c>
      <c r="E86" s="41">
        <v>2</v>
      </c>
      <c r="F86" s="14" t="s">
        <v>18</v>
      </c>
      <c r="G86" s="15" t="s">
        <v>18</v>
      </c>
      <c r="H86" s="14" t="s">
        <v>18</v>
      </c>
      <c r="I86" s="15" t="s">
        <v>18</v>
      </c>
      <c r="J86" s="60">
        <f t="shared" si="0"/>
        <v>2</v>
      </c>
      <c r="K86" s="44">
        <f>IF(A73=TRUE,J86*I73,0)</f>
        <v>0</v>
      </c>
      <c r="L86" s="13" t="s">
        <v>12</v>
      </c>
      <c r="M86" s="14" t="s">
        <v>18</v>
      </c>
      <c r="N86" s="15" t="s">
        <v>18</v>
      </c>
      <c r="O86" s="30">
        <v>3</v>
      </c>
      <c r="P86" s="32">
        <v>3</v>
      </c>
      <c r="Q86" s="14" t="s">
        <v>18</v>
      </c>
      <c r="R86" s="15" t="s">
        <v>18</v>
      </c>
      <c r="S86" s="14" t="s">
        <v>18</v>
      </c>
      <c r="T86" s="15" t="s">
        <v>18</v>
      </c>
      <c r="U86" s="60">
        <f t="shared" si="8"/>
        <v>3</v>
      </c>
      <c r="V86" s="44">
        <f t="shared" si="9"/>
        <v>0</v>
      </c>
      <c r="W86" s="13" t="s">
        <v>12</v>
      </c>
      <c r="X86" s="14" t="s">
        <v>18</v>
      </c>
      <c r="Y86" s="15" t="s">
        <v>18</v>
      </c>
      <c r="Z86" s="73">
        <v>4</v>
      </c>
      <c r="AA86" s="73">
        <v>4</v>
      </c>
      <c r="AB86" s="14" t="s">
        <v>18</v>
      </c>
      <c r="AC86" s="15" t="s">
        <v>18</v>
      </c>
      <c r="AD86" s="14" t="s">
        <v>18</v>
      </c>
      <c r="AE86" s="15" t="s">
        <v>18</v>
      </c>
      <c r="AF86" s="60">
        <f t="shared" si="10"/>
        <v>4</v>
      </c>
      <c r="AG86" s="44">
        <f t="shared" si="11"/>
        <v>0</v>
      </c>
      <c r="AH86" s="13" t="s">
        <v>12</v>
      </c>
      <c r="AI86" s="14" t="s">
        <v>18</v>
      </c>
      <c r="AJ86" s="15" t="s">
        <v>18</v>
      </c>
      <c r="AK86" s="30">
        <v>3</v>
      </c>
      <c r="AL86" s="32">
        <v>3</v>
      </c>
      <c r="AM86" s="14" t="s">
        <v>18</v>
      </c>
      <c r="AN86" s="15" t="s">
        <v>18</v>
      </c>
      <c r="AO86" s="14" t="s">
        <v>18</v>
      </c>
      <c r="AP86" s="15" t="s">
        <v>18</v>
      </c>
      <c r="AQ86" s="60">
        <f t="shared" si="12"/>
        <v>3</v>
      </c>
      <c r="AR86" s="44">
        <f t="shared" si="13"/>
        <v>0</v>
      </c>
      <c r="AS86" s="13" t="s">
        <v>12</v>
      </c>
      <c r="AT86" s="14" t="s">
        <v>18</v>
      </c>
      <c r="AU86" s="15" t="s">
        <v>18</v>
      </c>
      <c r="AV86" s="16">
        <v>4</v>
      </c>
      <c r="AW86" s="17">
        <v>4</v>
      </c>
      <c r="AX86" s="14" t="s">
        <v>18</v>
      </c>
      <c r="AY86" s="15" t="s">
        <v>18</v>
      </c>
      <c r="AZ86" s="53">
        <v>5</v>
      </c>
      <c r="BA86" s="53">
        <v>5</v>
      </c>
      <c r="BB86" s="60">
        <f t="shared" si="14"/>
        <v>5</v>
      </c>
      <c r="BC86" s="44">
        <f>IF($A73=TRUE,BB86*$I73,0)</f>
        <v>0</v>
      </c>
      <c r="BD86" s="44"/>
      <c r="BE86" s="44"/>
      <c r="BF86" s="44"/>
      <c r="BG86" s="44"/>
      <c r="BH86" s="44"/>
      <c r="BI86" s="44"/>
    </row>
    <row r="87" spans="1:61" x14ac:dyDescent="0.3">
      <c r="A87" s="2"/>
      <c r="B87" s="2"/>
      <c r="C87" s="2"/>
      <c r="D87" s="2"/>
      <c r="E87" s="2"/>
      <c r="F87" s="2"/>
      <c r="G87" s="2"/>
      <c r="H87" s="2"/>
      <c r="I87" s="2"/>
      <c r="J87" s="60"/>
    </row>
    <row r="88" spans="1:61" x14ac:dyDescent="0.3">
      <c r="A88" s="4" t="s">
        <v>19</v>
      </c>
      <c r="B88" s="2"/>
      <c r="C88" s="2"/>
      <c r="D88" s="2"/>
      <c r="E88" s="2"/>
      <c r="F88" s="2"/>
      <c r="G88" s="2"/>
      <c r="H88" s="2"/>
      <c r="I88" s="2" t="s">
        <v>26</v>
      </c>
      <c r="J88" s="60"/>
    </row>
    <row r="89" spans="1:61" x14ac:dyDescent="0.3">
      <c r="A89" s="2" t="b">
        <v>1</v>
      </c>
      <c r="B89" s="2"/>
      <c r="C89" s="2"/>
      <c r="D89" s="2"/>
      <c r="E89" s="2"/>
      <c r="F89" s="2"/>
      <c r="G89" s="2"/>
      <c r="H89" s="2"/>
      <c r="I89" s="2">
        <f>F9</f>
        <v>10</v>
      </c>
      <c r="J89" s="60"/>
    </row>
    <row r="90" spans="1:61" x14ac:dyDescent="0.3">
      <c r="A90" s="2"/>
      <c r="B90" s="2"/>
      <c r="C90" s="2"/>
      <c r="D90" s="2"/>
      <c r="E90" s="2"/>
      <c r="F90" s="2"/>
      <c r="G90" s="2"/>
      <c r="H90" s="2"/>
      <c r="I90" s="2"/>
      <c r="J90" s="60"/>
    </row>
    <row r="91" spans="1:61" x14ac:dyDescent="0.3">
      <c r="A91" s="10" t="s">
        <v>14</v>
      </c>
      <c r="B91" s="85" t="s">
        <v>7</v>
      </c>
      <c r="C91" s="86"/>
      <c r="D91" s="85" t="s">
        <v>10</v>
      </c>
      <c r="E91" s="86"/>
      <c r="F91" s="87" t="s">
        <v>11</v>
      </c>
      <c r="G91" s="86"/>
      <c r="H91" s="85" t="s">
        <v>13</v>
      </c>
      <c r="I91" s="86"/>
      <c r="J91" s="60"/>
      <c r="K91" s="42"/>
      <c r="L91" s="10" t="s">
        <v>14</v>
      </c>
      <c r="M91" s="85" t="s">
        <v>7</v>
      </c>
      <c r="N91" s="86"/>
      <c r="O91" s="85" t="s">
        <v>10</v>
      </c>
      <c r="P91" s="86"/>
      <c r="Q91" s="87" t="s">
        <v>11</v>
      </c>
      <c r="R91" s="86"/>
      <c r="S91" s="85" t="s">
        <v>13</v>
      </c>
      <c r="T91" s="86"/>
      <c r="U91" s="58"/>
      <c r="V91" s="42"/>
      <c r="W91" s="10" t="s">
        <v>14</v>
      </c>
      <c r="X91" s="85" t="s">
        <v>7</v>
      </c>
      <c r="Y91" s="86"/>
      <c r="Z91" s="85" t="s">
        <v>10</v>
      </c>
      <c r="AA91" s="86"/>
      <c r="AB91" s="87" t="s">
        <v>11</v>
      </c>
      <c r="AC91" s="86"/>
      <c r="AD91" s="85" t="s">
        <v>13</v>
      </c>
      <c r="AE91" s="86"/>
      <c r="AF91" s="58"/>
      <c r="AG91" s="42"/>
      <c r="AH91" s="10" t="s">
        <v>14</v>
      </c>
      <c r="AI91" s="85" t="s">
        <v>7</v>
      </c>
      <c r="AJ91" s="86"/>
      <c r="AK91" s="85" t="s">
        <v>10</v>
      </c>
      <c r="AL91" s="86"/>
      <c r="AM91" s="87" t="s">
        <v>11</v>
      </c>
      <c r="AN91" s="86"/>
      <c r="AO91" s="85" t="s">
        <v>13</v>
      </c>
      <c r="AP91" s="86"/>
      <c r="AQ91" s="58"/>
      <c r="AR91" s="42"/>
      <c r="AS91" s="10" t="s">
        <v>14</v>
      </c>
      <c r="AT91" s="85" t="s">
        <v>7</v>
      </c>
      <c r="AU91" s="86"/>
      <c r="AV91" s="85" t="s">
        <v>10</v>
      </c>
      <c r="AW91" s="86"/>
      <c r="AX91" s="87" t="s">
        <v>11</v>
      </c>
      <c r="AY91" s="86"/>
      <c r="AZ91" s="85" t="s">
        <v>13</v>
      </c>
      <c r="BA91" s="86"/>
      <c r="BB91" s="58"/>
      <c r="BC91" s="42"/>
      <c r="BD91" s="42"/>
      <c r="BE91" s="42"/>
      <c r="BF91" s="42"/>
      <c r="BG91" s="42"/>
      <c r="BH91" s="42"/>
      <c r="BI91" s="42"/>
    </row>
    <row r="92" spans="1:61" ht="15" thickBot="1" x14ac:dyDescent="0.35">
      <c r="A92" s="11" t="s">
        <v>0</v>
      </c>
      <c r="B92" s="5" t="s">
        <v>8</v>
      </c>
      <c r="C92" s="6" t="s">
        <v>9</v>
      </c>
      <c r="D92" s="7" t="s">
        <v>8</v>
      </c>
      <c r="E92" s="6" t="s">
        <v>9</v>
      </c>
      <c r="F92" s="7" t="s">
        <v>8</v>
      </c>
      <c r="G92" s="6" t="s">
        <v>9</v>
      </c>
      <c r="H92" s="7" t="s">
        <v>8</v>
      </c>
      <c r="I92" s="6" t="s">
        <v>9</v>
      </c>
      <c r="J92" s="60"/>
      <c r="K92" s="43"/>
      <c r="L92" s="11" t="s">
        <v>0</v>
      </c>
      <c r="M92" s="5" t="s">
        <v>8</v>
      </c>
      <c r="N92" s="6" t="s">
        <v>9</v>
      </c>
      <c r="O92" s="7" t="s">
        <v>8</v>
      </c>
      <c r="P92" s="6" t="s">
        <v>9</v>
      </c>
      <c r="Q92" s="7" t="s">
        <v>8</v>
      </c>
      <c r="R92" s="6" t="s">
        <v>9</v>
      </c>
      <c r="S92" s="7" t="s">
        <v>8</v>
      </c>
      <c r="T92" s="6" t="s">
        <v>9</v>
      </c>
      <c r="U92" s="59"/>
      <c r="V92" s="43"/>
      <c r="W92" s="11" t="s">
        <v>0</v>
      </c>
      <c r="X92" s="5" t="s">
        <v>8</v>
      </c>
      <c r="Y92" s="6" t="s">
        <v>9</v>
      </c>
      <c r="Z92" s="7" t="s">
        <v>8</v>
      </c>
      <c r="AA92" s="6" t="s">
        <v>9</v>
      </c>
      <c r="AB92" s="7" t="s">
        <v>8</v>
      </c>
      <c r="AC92" s="6" t="s">
        <v>9</v>
      </c>
      <c r="AD92" s="7" t="s">
        <v>8</v>
      </c>
      <c r="AE92" s="6" t="s">
        <v>9</v>
      </c>
      <c r="AF92" s="59"/>
      <c r="AG92" s="43"/>
      <c r="AH92" s="11" t="s">
        <v>0</v>
      </c>
      <c r="AI92" s="5" t="s">
        <v>8</v>
      </c>
      <c r="AJ92" s="6" t="s">
        <v>9</v>
      </c>
      <c r="AK92" s="7" t="s">
        <v>8</v>
      </c>
      <c r="AL92" s="6" t="s">
        <v>9</v>
      </c>
      <c r="AM92" s="7" t="s">
        <v>8</v>
      </c>
      <c r="AN92" s="6" t="s">
        <v>9</v>
      </c>
      <c r="AO92" s="7" t="s">
        <v>8</v>
      </c>
      <c r="AP92" s="6" t="s">
        <v>9</v>
      </c>
      <c r="AQ92" s="58"/>
      <c r="AR92" s="42"/>
      <c r="AS92" s="11" t="s">
        <v>0</v>
      </c>
      <c r="AT92" s="5" t="s">
        <v>8</v>
      </c>
      <c r="AU92" s="6" t="s">
        <v>9</v>
      </c>
      <c r="AV92" s="7" t="s">
        <v>8</v>
      </c>
      <c r="AW92" s="6" t="s">
        <v>9</v>
      </c>
      <c r="AX92" s="7" t="s">
        <v>8</v>
      </c>
      <c r="AY92" s="6" t="s">
        <v>9</v>
      </c>
      <c r="AZ92" s="7" t="s">
        <v>8</v>
      </c>
      <c r="BA92" s="6" t="s">
        <v>9</v>
      </c>
      <c r="BB92" s="58"/>
      <c r="BC92" s="42"/>
      <c r="BD92" s="42"/>
      <c r="BE92" s="42"/>
      <c r="BF92" s="42"/>
      <c r="BG92" s="42"/>
      <c r="BH92" s="42"/>
      <c r="BI92" s="42"/>
    </row>
    <row r="93" spans="1:61" ht="15" thickTop="1" x14ac:dyDescent="0.3">
      <c r="A93" s="1" t="s">
        <v>4</v>
      </c>
      <c r="B93" s="28">
        <v>3</v>
      </c>
      <c r="C93" s="19">
        <v>3</v>
      </c>
      <c r="D93" s="18">
        <v>3</v>
      </c>
      <c r="E93" s="23">
        <v>2</v>
      </c>
      <c r="F93" s="24">
        <v>1</v>
      </c>
      <c r="G93" s="17">
        <v>4</v>
      </c>
      <c r="H93" s="8" t="s">
        <v>18</v>
      </c>
      <c r="I93" s="9" t="s">
        <v>18</v>
      </c>
      <c r="J93" s="60">
        <f t="shared" si="0"/>
        <v>4</v>
      </c>
      <c r="K93" s="44">
        <f>IF(A89=TRUE,J93*I89,0)</f>
        <v>40</v>
      </c>
      <c r="L93" s="1" t="s">
        <v>4</v>
      </c>
      <c r="M93" s="16">
        <v>4</v>
      </c>
      <c r="N93" s="17">
        <v>4</v>
      </c>
      <c r="O93" s="18">
        <v>3</v>
      </c>
      <c r="P93" s="23">
        <v>2</v>
      </c>
      <c r="Q93" s="24">
        <v>1</v>
      </c>
      <c r="R93" s="17">
        <v>4</v>
      </c>
      <c r="S93" s="8" t="s">
        <v>18</v>
      </c>
      <c r="T93" s="9" t="s">
        <v>18</v>
      </c>
      <c r="U93" s="60">
        <f>MAX(M93:T93)</f>
        <v>4</v>
      </c>
      <c r="V93" s="44">
        <f>IF($A89=TRUE,U93*$I89,0)</f>
        <v>40</v>
      </c>
      <c r="W93" s="1" t="s">
        <v>4</v>
      </c>
      <c r="X93" s="16">
        <v>4</v>
      </c>
      <c r="Y93" s="17">
        <v>4</v>
      </c>
      <c r="Z93" s="18">
        <v>3</v>
      </c>
      <c r="AA93" s="23">
        <v>2</v>
      </c>
      <c r="AB93" s="24">
        <v>1</v>
      </c>
      <c r="AC93" s="17">
        <v>4</v>
      </c>
      <c r="AD93" s="8" t="s">
        <v>18</v>
      </c>
      <c r="AE93" s="9" t="s">
        <v>18</v>
      </c>
      <c r="AF93" s="60">
        <f>MAX(X93:AE93)</f>
        <v>4</v>
      </c>
      <c r="AG93" s="44">
        <f>IF($A89=TRUE,AF93*$I89,0)</f>
        <v>40</v>
      </c>
      <c r="AH93" s="1" t="s">
        <v>4</v>
      </c>
      <c r="AI93" s="16">
        <v>4</v>
      </c>
      <c r="AJ93" s="17">
        <v>4</v>
      </c>
      <c r="AK93" s="18">
        <v>3</v>
      </c>
      <c r="AL93" s="23">
        <v>2</v>
      </c>
      <c r="AM93" s="24">
        <v>1</v>
      </c>
      <c r="AN93" s="17">
        <v>4</v>
      </c>
      <c r="AO93" s="8" t="s">
        <v>18</v>
      </c>
      <c r="AP93" s="9" t="s">
        <v>18</v>
      </c>
      <c r="AQ93" s="60">
        <f>MAX(AI93:AP93)</f>
        <v>4</v>
      </c>
      <c r="AR93" s="44">
        <f>IF($A89=TRUE,AQ93*$I89,0)</f>
        <v>40</v>
      </c>
      <c r="AS93" s="1" t="s">
        <v>4</v>
      </c>
      <c r="AT93" s="8" t="s">
        <v>18</v>
      </c>
      <c r="AU93" s="9" t="s">
        <v>18</v>
      </c>
      <c r="AV93" s="8" t="s">
        <v>18</v>
      </c>
      <c r="AW93" s="9" t="s">
        <v>18</v>
      </c>
      <c r="AX93" s="8" t="s">
        <v>18</v>
      </c>
      <c r="AY93" s="9" t="s">
        <v>18</v>
      </c>
      <c r="AZ93" s="8" t="s">
        <v>18</v>
      </c>
      <c r="BA93" s="9" t="s">
        <v>18</v>
      </c>
      <c r="BB93" s="60">
        <f>MAX(AT93:BA93)</f>
        <v>0</v>
      </c>
      <c r="BC93" s="44">
        <f>IF($A89=TRUE,BB93*$I89,0)</f>
        <v>0</v>
      </c>
      <c r="BD93" s="44"/>
      <c r="BE93" s="44"/>
      <c r="BF93" s="44"/>
      <c r="BG93" s="44"/>
      <c r="BH93" s="44"/>
      <c r="BI93" s="44"/>
    </row>
    <row r="94" spans="1:61" x14ac:dyDescent="0.3">
      <c r="A94" s="1" t="s">
        <v>5</v>
      </c>
      <c r="B94" s="28">
        <v>4</v>
      </c>
      <c r="C94" s="19">
        <v>4</v>
      </c>
      <c r="D94" s="8" t="s">
        <v>18</v>
      </c>
      <c r="E94" s="9" t="s">
        <v>18</v>
      </c>
      <c r="F94" s="24">
        <v>1</v>
      </c>
      <c r="G94" s="23">
        <v>2</v>
      </c>
      <c r="H94" s="8" t="s">
        <v>18</v>
      </c>
      <c r="I94" s="9" t="s">
        <v>18</v>
      </c>
      <c r="J94" s="60">
        <f t="shared" si="0"/>
        <v>4</v>
      </c>
      <c r="K94" s="44">
        <f>IF(A89=TRUE,J94*I89,0)</f>
        <v>40</v>
      </c>
      <c r="L94" s="1" t="s">
        <v>5</v>
      </c>
      <c r="M94" s="16">
        <v>4</v>
      </c>
      <c r="N94" s="17">
        <v>4</v>
      </c>
      <c r="O94" s="8" t="s">
        <v>18</v>
      </c>
      <c r="P94" s="9" t="s">
        <v>18</v>
      </c>
      <c r="Q94" s="24">
        <v>1</v>
      </c>
      <c r="R94" s="23">
        <v>2</v>
      </c>
      <c r="S94" s="8" t="s">
        <v>18</v>
      </c>
      <c r="T94" s="9" t="s">
        <v>18</v>
      </c>
      <c r="U94" s="60">
        <f t="shared" ref="U94:U102" si="15">MAX(M94:T94)</f>
        <v>4</v>
      </c>
      <c r="V94" s="44">
        <f>IF($A89=TRUE,U94*$I89,0)</f>
        <v>40</v>
      </c>
      <c r="W94" s="1" t="s">
        <v>5</v>
      </c>
      <c r="X94" s="16">
        <v>4</v>
      </c>
      <c r="Y94" s="17">
        <v>4</v>
      </c>
      <c r="Z94" s="8" t="s">
        <v>18</v>
      </c>
      <c r="AA94" s="9" t="s">
        <v>18</v>
      </c>
      <c r="AB94" s="24">
        <v>1</v>
      </c>
      <c r="AC94" s="23">
        <v>2</v>
      </c>
      <c r="AD94" s="8" t="s">
        <v>18</v>
      </c>
      <c r="AE94" s="9" t="s">
        <v>18</v>
      </c>
      <c r="AF94" s="60">
        <f t="shared" ref="AF94:AF102" si="16">MAX(X94:AE94)</f>
        <v>4</v>
      </c>
      <c r="AG94" s="44">
        <f>IF($A89=TRUE,AF94*$I89,0)</f>
        <v>40</v>
      </c>
      <c r="AH94" s="1" t="s">
        <v>5</v>
      </c>
      <c r="AI94" s="16">
        <v>4</v>
      </c>
      <c r="AJ94" s="17">
        <v>4</v>
      </c>
      <c r="AK94" s="8" t="s">
        <v>18</v>
      </c>
      <c r="AL94" s="9" t="s">
        <v>18</v>
      </c>
      <c r="AM94" s="24">
        <v>1</v>
      </c>
      <c r="AN94" s="23">
        <v>2</v>
      </c>
      <c r="AO94" s="8" t="s">
        <v>18</v>
      </c>
      <c r="AP94" s="9" t="s">
        <v>18</v>
      </c>
      <c r="AQ94" s="60">
        <f t="shared" ref="AQ94:AQ102" si="17">MAX(AI94:AP94)</f>
        <v>4</v>
      </c>
      <c r="AR94" s="44">
        <f>IF($A89=TRUE,AQ94*$I89,0)</f>
        <v>40</v>
      </c>
      <c r="AS94" s="1" t="s">
        <v>5</v>
      </c>
      <c r="AT94" s="8" t="s">
        <v>18</v>
      </c>
      <c r="AU94" s="9" t="s">
        <v>18</v>
      </c>
      <c r="AV94" s="8" t="s">
        <v>18</v>
      </c>
      <c r="AW94" s="9" t="s">
        <v>18</v>
      </c>
      <c r="AX94" s="8" t="s">
        <v>18</v>
      </c>
      <c r="AY94" s="9" t="s">
        <v>18</v>
      </c>
      <c r="AZ94" s="8" t="s">
        <v>18</v>
      </c>
      <c r="BA94" s="9" t="s">
        <v>18</v>
      </c>
      <c r="BB94" s="60">
        <f t="shared" ref="BB94:BB102" si="18">MAX(AT94:BA94)</f>
        <v>0</v>
      </c>
      <c r="BC94" s="44">
        <f>IF($A89=TRUE,BB94*$I89,0)</f>
        <v>0</v>
      </c>
      <c r="BD94" s="44"/>
      <c r="BE94" s="44"/>
      <c r="BF94" s="44"/>
      <c r="BG94" s="44"/>
      <c r="BH94" s="44"/>
      <c r="BI94" s="44"/>
    </row>
    <row r="95" spans="1:61" x14ac:dyDescent="0.3">
      <c r="A95" s="1" t="s">
        <v>6</v>
      </c>
      <c r="B95" s="31">
        <v>3</v>
      </c>
      <c r="C95" s="17">
        <v>4</v>
      </c>
      <c r="D95" s="8" t="s">
        <v>18</v>
      </c>
      <c r="E95" s="9" t="s">
        <v>18</v>
      </c>
      <c r="F95" s="24">
        <v>1</v>
      </c>
      <c r="G95" s="23">
        <v>2</v>
      </c>
      <c r="H95" s="8" t="s">
        <v>18</v>
      </c>
      <c r="I95" s="9" t="s">
        <v>18</v>
      </c>
      <c r="J95" s="60">
        <f t="shared" si="0"/>
        <v>4</v>
      </c>
      <c r="K95" s="44">
        <f>IF(A89=TRUE,J95*I89,0)</f>
        <v>40</v>
      </c>
      <c r="L95" s="1" t="s">
        <v>6</v>
      </c>
      <c r="M95" s="31">
        <v>3</v>
      </c>
      <c r="N95" s="17">
        <v>4</v>
      </c>
      <c r="O95" s="8" t="s">
        <v>18</v>
      </c>
      <c r="P95" s="9" t="s">
        <v>18</v>
      </c>
      <c r="Q95" s="24">
        <v>1</v>
      </c>
      <c r="R95" s="23">
        <v>2</v>
      </c>
      <c r="S95" s="8" t="s">
        <v>18</v>
      </c>
      <c r="T95" s="9" t="s">
        <v>18</v>
      </c>
      <c r="U95" s="60">
        <f t="shared" si="15"/>
        <v>4</v>
      </c>
      <c r="V95" s="44">
        <f>IF($A89=TRUE,U95*$I89,0)</f>
        <v>40</v>
      </c>
      <c r="W95" s="1" t="s">
        <v>6</v>
      </c>
      <c r="X95" s="31">
        <v>3</v>
      </c>
      <c r="Y95" s="17">
        <v>4</v>
      </c>
      <c r="Z95" s="8" t="s">
        <v>18</v>
      </c>
      <c r="AA95" s="9" t="s">
        <v>18</v>
      </c>
      <c r="AB95" s="24">
        <v>1</v>
      </c>
      <c r="AC95" s="23">
        <v>2</v>
      </c>
      <c r="AD95" s="8" t="s">
        <v>18</v>
      </c>
      <c r="AE95" s="9" t="s">
        <v>18</v>
      </c>
      <c r="AF95" s="60">
        <f t="shared" si="16"/>
        <v>4</v>
      </c>
      <c r="AG95" s="44">
        <f>IF($A89=TRUE,AF95*$I89,0)</f>
        <v>40</v>
      </c>
      <c r="AH95" s="1" t="s">
        <v>6</v>
      </c>
      <c r="AI95" s="31">
        <v>3</v>
      </c>
      <c r="AJ95" s="17">
        <v>4</v>
      </c>
      <c r="AK95" s="8" t="s">
        <v>18</v>
      </c>
      <c r="AL95" s="9" t="s">
        <v>18</v>
      </c>
      <c r="AM95" s="24">
        <v>1</v>
      </c>
      <c r="AN95" s="23">
        <v>2</v>
      </c>
      <c r="AO95" s="8" t="s">
        <v>18</v>
      </c>
      <c r="AP95" s="9" t="s">
        <v>18</v>
      </c>
      <c r="AQ95" s="60">
        <f t="shared" si="17"/>
        <v>4</v>
      </c>
      <c r="AR95" s="44">
        <f>IF($A89=TRUE,AQ95*$I89,0)</f>
        <v>40</v>
      </c>
      <c r="AS95" s="1" t="s">
        <v>6</v>
      </c>
      <c r="AT95" s="8" t="s">
        <v>18</v>
      </c>
      <c r="AU95" s="9" t="s">
        <v>18</v>
      </c>
      <c r="AV95" s="8" t="s">
        <v>18</v>
      </c>
      <c r="AW95" s="9" t="s">
        <v>18</v>
      </c>
      <c r="AX95" s="8" t="s">
        <v>18</v>
      </c>
      <c r="AY95" s="9" t="s">
        <v>18</v>
      </c>
      <c r="AZ95" s="8" t="s">
        <v>18</v>
      </c>
      <c r="BA95" s="9" t="s">
        <v>18</v>
      </c>
      <c r="BB95" s="60">
        <f t="shared" si="18"/>
        <v>0</v>
      </c>
      <c r="BC95" s="44">
        <f>IF($A89=TRUE,BB95*$I89,0)</f>
        <v>0</v>
      </c>
      <c r="BD95" s="44"/>
      <c r="BE95" s="44"/>
      <c r="BF95" s="44"/>
      <c r="BG95" s="44"/>
      <c r="BH95" s="44"/>
      <c r="BI95" s="44"/>
    </row>
    <row r="96" spans="1:61" x14ac:dyDescent="0.3">
      <c r="A96" s="1" t="s">
        <v>1</v>
      </c>
      <c r="B96" s="8" t="s">
        <v>18</v>
      </c>
      <c r="C96" s="9" t="s">
        <v>18</v>
      </c>
      <c r="D96" s="8" t="s">
        <v>18</v>
      </c>
      <c r="E96" s="9" t="s">
        <v>18</v>
      </c>
      <c r="F96" s="8" t="s">
        <v>18</v>
      </c>
      <c r="G96" s="9" t="s">
        <v>18</v>
      </c>
      <c r="H96" s="29">
        <v>2</v>
      </c>
      <c r="I96" s="23">
        <v>2</v>
      </c>
      <c r="J96" s="60">
        <f t="shared" si="0"/>
        <v>2</v>
      </c>
      <c r="K96" s="44">
        <f>IF(A89=TRUE,J96*I89,0)</f>
        <v>20</v>
      </c>
      <c r="L96" s="1" t="s">
        <v>1</v>
      </c>
      <c r="M96" s="8" t="s">
        <v>18</v>
      </c>
      <c r="N96" s="9" t="s">
        <v>18</v>
      </c>
      <c r="O96" s="8" t="s">
        <v>18</v>
      </c>
      <c r="P96" s="9" t="s">
        <v>18</v>
      </c>
      <c r="Q96" s="8" t="s">
        <v>18</v>
      </c>
      <c r="R96" s="9" t="s">
        <v>18</v>
      </c>
      <c r="S96" s="29">
        <v>2</v>
      </c>
      <c r="T96" s="23">
        <v>2</v>
      </c>
      <c r="U96" s="60">
        <f t="shared" si="15"/>
        <v>2</v>
      </c>
      <c r="V96" s="44">
        <f>IF($A89=TRUE,U96*$I89,0)</f>
        <v>20</v>
      </c>
      <c r="W96" s="1" t="s">
        <v>1</v>
      </c>
      <c r="X96" s="8" t="s">
        <v>18</v>
      </c>
      <c r="Y96" s="9" t="s">
        <v>18</v>
      </c>
      <c r="Z96" s="8" t="s">
        <v>18</v>
      </c>
      <c r="AA96" s="9" t="s">
        <v>18</v>
      </c>
      <c r="AB96" s="8" t="s">
        <v>18</v>
      </c>
      <c r="AC96" s="9" t="s">
        <v>18</v>
      </c>
      <c r="AD96" s="29">
        <v>2</v>
      </c>
      <c r="AE96" s="23">
        <v>2</v>
      </c>
      <c r="AF96" s="60">
        <f t="shared" si="16"/>
        <v>2</v>
      </c>
      <c r="AG96" s="44">
        <f>IF($A89=TRUE,AF96*$I89,0)</f>
        <v>20</v>
      </c>
      <c r="AH96" s="1" t="s">
        <v>1</v>
      </c>
      <c r="AI96" s="8" t="s">
        <v>18</v>
      </c>
      <c r="AJ96" s="9" t="s">
        <v>18</v>
      </c>
      <c r="AK96" s="8" t="s">
        <v>18</v>
      </c>
      <c r="AL96" s="9" t="s">
        <v>18</v>
      </c>
      <c r="AM96" s="8" t="s">
        <v>18</v>
      </c>
      <c r="AN96" s="9" t="s">
        <v>18</v>
      </c>
      <c r="AO96" s="27">
        <v>5</v>
      </c>
      <c r="AP96" s="48">
        <v>4</v>
      </c>
      <c r="AQ96" s="60">
        <f t="shared" si="17"/>
        <v>5</v>
      </c>
      <c r="AR96" s="44">
        <f>IF($A89=TRUE,AQ96*$I89,0)</f>
        <v>50</v>
      </c>
      <c r="AS96" s="1" t="s">
        <v>1</v>
      </c>
      <c r="AT96" s="8" t="s">
        <v>18</v>
      </c>
      <c r="AU96" s="9" t="s">
        <v>18</v>
      </c>
      <c r="AV96" s="8" t="s">
        <v>18</v>
      </c>
      <c r="AW96" s="9" t="s">
        <v>18</v>
      </c>
      <c r="AX96" s="8" t="s">
        <v>18</v>
      </c>
      <c r="AY96" s="9" t="s">
        <v>18</v>
      </c>
      <c r="AZ96" s="8" t="s">
        <v>18</v>
      </c>
      <c r="BA96" s="9" t="s">
        <v>18</v>
      </c>
      <c r="BB96" s="60">
        <f t="shared" si="18"/>
        <v>0</v>
      </c>
      <c r="BC96" s="44">
        <f>IF($A89=TRUE,BB96*$I89,0)</f>
        <v>0</v>
      </c>
      <c r="BD96" s="44"/>
      <c r="BE96" s="44"/>
      <c r="BF96" s="44"/>
      <c r="BG96" s="44"/>
      <c r="BH96" s="44"/>
      <c r="BI96" s="44"/>
    </row>
    <row r="97" spans="1:62" x14ac:dyDescent="0.3">
      <c r="A97" s="1" t="s">
        <v>16</v>
      </c>
      <c r="B97" s="8" t="s">
        <v>18</v>
      </c>
      <c r="C97" s="9" t="s">
        <v>18</v>
      </c>
      <c r="D97" s="8" t="s">
        <v>18</v>
      </c>
      <c r="E97" s="9" t="s">
        <v>18</v>
      </c>
      <c r="F97" s="8" t="s">
        <v>18</v>
      </c>
      <c r="G97" s="22">
        <v>1</v>
      </c>
      <c r="H97" s="8" t="s">
        <v>18</v>
      </c>
      <c r="I97" s="22">
        <v>1</v>
      </c>
      <c r="J97" s="60">
        <f t="shared" si="0"/>
        <v>1</v>
      </c>
      <c r="K97" s="44">
        <f>IF(A89=TRUE,J97*I89,0)</f>
        <v>10</v>
      </c>
      <c r="L97" s="1" t="s">
        <v>16</v>
      </c>
      <c r="M97" s="8" t="s">
        <v>18</v>
      </c>
      <c r="N97" s="9" t="s">
        <v>18</v>
      </c>
      <c r="O97" s="8" t="s">
        <v>18</v>
      </c>
      <c r="P97" s="9" t="s">
        <v>18</v>
      </c>
      <c r="Q97" s="8" t="s">
        <v>18</v>
      </c>
      <c r="R97" s="22">
        <v>1</v>
      </c>
      <c r="S97" s="8" t="s">
        <v>18</v>
      </c>
      <c r="T97" s="22">
        <v>1</v>
      </c>
      <c r="U97" s="60">
        <f t="shared" si="15"/>
        <v>1</v>
      </c>
      <c r="V97" s="44">
        <f>IF($A89=TRUE,U97*$I89,0)</f>
        <v>10</v>
      </c>
      <c r="W97" s="1" t="s">
        <v>16</v>
      </c>
      <c r="X97" s="8" t="s">
        <v>18</v>
      </c>
      <c r="Y97" s="9" t="s">
        <v>18</v>
      </c>
      <c r="Z97" s="8" t="s">
        <v>18</v>
      </c>
      <c r="AA97" s="9" t="s">
        <v>18</v>
      </c>
      <c r="AB97" s="8" t="s">
        <v>18</v>
      </c>
      <c r="AC97" s="22">
        <v>1</v>
      </c>
      <c r="AD97" s="8" t="s">
        <v>18</v>
      </c>
      <c r="AE97" s="22">
        <v>1</v>
      </c>
      <c r="AF97" s="60">
        <f t="shared" si="16"/>
        <v>1</v>
      </c>
      <c r="AG97" s="44">
        <f>IF($A89=TRUE,AF97*$I89,0)</f>
        <v>10</v>
      </c>
      <c r="AH97" s="1" t="s">
        <v>16</v>
      </c>
      <c r="AI97" s="8" t="s">
        <v>18</v>
      </c>
      <c r="AJ97" s="9" t="s">
        <v>18</v>
      </c>
      <c r="AK97" s="8" t="s">
        <v>18</v>
      </c>
      <c r="AL97" s="9" t="s">
        <v>18</v>
      </c>
      <c r="AM97" s="8" t="s">
        <v>18</v>
      </c>
      <c r="AN97" s="22">
        <v>1</v>
      </c>
      <c r="AO97" s="8" t="s">
        <v>18</v>
      </c>
      <c r="AP97" s="22">
        <v>1</v>
      </c>
      <c r="AQ97" s="60">
        <f t="shared" si="17"/>
        <v>1</v>
      </c>
      <c r="AR97" s="44">
        <f>IF($A89=TRUE,AQ97*$I89,0)</f>
        <v>10</v>
      </c>
      <c r="AS97" s="1" t="s">
        <v>16</v>
      </c>
      <c r="AT97" s="8" t="s">
        <v>18</v>
      </c>
      <c r="AU97" s="9" t="s">
        <v>18</v>
      </c>
      <c r="AV97" s="8" t="s">
        <v>18</v>
      </c>
      <c r="AW97" s="9" t="s">
        <v>18</v>
      </c>
      <c r="AX97" s="8" t="s">
        <v>18</v>
      </c>
      <c r="AY97" s="9" t="s">
        <v>18</v>
      </c>
      <c r="AZ97" s="8" t="s">
        <v>18</v>
      </c>
      <c r="BA97" s="9" t="s">
        <v>18</v>
      </c>
      <c r="BB97" s="60">
        <f t="shared" si="18"/>
        <v>0</v>
      </c>
      <c r="BC97" s="44">
        <f>IF($A89=TRUE,BB97*$I89,0)</f>
        <v>0</v>
      </c>
      <c r="BD97" s="44"/>
      <c r="BE97" s="44"/>
      <c r="BF97" s="44"/>
      <c r="BG97" s="44"/>
      <c r="BH97" s="44"/>
      <c r="BI97" s="44"/>
    </row>
    <row r="98" spans="1:62" x14ac:dyDescent="0.3">
      <c r="A98" s="1" t="s">
        <v>17</v>
      </c>
      <c r="B98" s="8" t="s">
        <v>18</v>
      </c>
      <c r="C98" s="9" t="s">
        <v>18</v>
      </c>
      <c r="D98" s="29">
        <v>2</v>
      </c>
      <c r="E98" s="23">
        <v>2</v>
      </c>
      <c r="F98" s="8" t="s">
        <v>18</v>
      </c>
      <c r="G98" s="9" t="s">
        <v>18</v>
      </c>
      <c r="H98" s="29">
        <v>2</v>
      </c>
      <c r="I98" s="23">
        <v>2</v>
      </c>
      <c r="J98" s="60">
        <f t="shared" si="0"/>
        <v>2</v>
      </c>
      <c r="K98" s="44">
        <f>IF(A89=TRUE,J98*I89,0)</f>
        <v>20</v>
      </c>
      <c r="L98" s="1" t="s">
        <v>17</v>
      </c>
      <c r="M98" s="8" t="s">
        <v>18</v>
      </c>
      <c r="N98" s="9" t="s">
        <v>18</v>
      </c>
      <c r="O98" s="28">
        <v>3</v>
      </c>
      <c r="P98" s="19">
        <v>3</v>
      </c>
      <c r="Q98" s="8" t="s">
        <v>18</v>
      </c>
      <c r="R98" s="9" t="s">
        <v>18</v>
      </c>
      <c r="S98" s="29">
        <v>2</v>
      </c>
      <c r="T98" s="23">
        <v>2</v>
      </c>
      <c r="U98" s="60">
        <f t="shared" si="15"/>
        <v>3</v>
      </c>
      <c r="V98" s="44">
        <f>IF($A89=TRUE,U98*$I89,0)</f>
        <v>30</v>
      </c>
      <c r="W98" s="1" t="s">
        <v>17</v>
      </c>
      <c r="X98" s="8" t="s">
        <v>18</v>
      </c>
      <c r="Y98" s="9" t="s">
        <v>18</v>
      </c>
      <c r="Z98" s="28">
        <v>3</v>
      </c>
      <c r="AA98" s="19">
        <v>3</v>
      </c>
      <c r="AB98" s="8" t="s">
        <v>18</v>
      </c>
      <c r="AC98" s="9" t="s">
        <v>18</v>
      </c>
      <c r="AD98" s="29">
        <v>2</v>
      </c>
      <c r="AE98" s="23">
        <v>2</v>
      </c>
      <c r="AF98" s="60">
        <f t="shared" si="16"/>
        <v>3</v>
      </c>
      <c r="AG98" s="44">
        <f>IF($A89=TRUE,AF98*$I89,0)</f>
        <v>30</v>
      </c>
      <c r="AH98" s="1" t="s">
        <v>17</v>
      </c>
      <c r="AI98" s="8" t="s">
        <v>18</v>
      </c>
      <c r="AJ98" s="9" t="s">
        <v>18</v>
      </c>
      <c r="AK98" s="28">
        <v>3</v>
      </c>
      <c r="AL98" s="19">
        <v>3</v>
      </c>
      <c r="AM98" s="8" t="s">
        <v>18</v>
      </c>
      <c r="AN98" s="9" t="s">
        <v>18</v>
      </c>
      <c r="AO98" s="29">
        <v>2</v>
      </c>
      <c r="AP98" s="23">
        <v>2</v>
      </c>
      <c r="AQ98" s="60">
        <f t="shared" si="17"/>
        <v>3</v>
      </c>
      <c r="AR98" s="44">
        <f>IF($A89=TRUE,AQ98*$I89,0)</f>
        <v>30</v>
      </c>
      <c r="AS98" s="1" t="s">
        <v>17</v>
      </c>
      <c r="AT98" s="8" t="s">
        <v>18</v>
      </c>
      <c r="AU98" s="9" t="s">
        <v>18</v>
      </c>
      <c r="AV98" s="16">
        <v>4</v>
      </c>
      <c r="AW98" s="17">
        <v>4</v>
      </c>
      <c r="AX98" s="8" t="s">
        <v>18</v>
      </c>
      <c r="AY98" s="9" t="s">
        <v>18</v>
      </c>
      <c r="AZ98" s="53">
        <v>5</v>
      </c>
      <c r="BA98" s="53">
        <v>5</v>
      </c>
      <c r="BB98" s="60">
        <f t="shared" si="18"/>
        <v>5</v>
      </c>
      <c r="BC98" s="44">
        <f>IF($A89=TRUE,BB98*$I89,0)</f>
        <v>50</v>
      </c>
      <c r="BD98" s="44"/>
      <c r="BE98" s="44"/>
      <c r="BF98" s="44"/>
      <c r="BG98" s="44"/>
      <c r="BH98" s="44"/>
      <c r="BI98" s="44"/>
    </row>
    <row r="99" spans="1:62" x14ac:dyDescent="0.3">
      <c r="A99" s="1" t="s">
        <v>2</v>
      </c>
      <c r="B99" s="29">
        <v>2</v>
      </c>
      <c r="C99" s="23">
        <v>2</v>
      </c>
      <c r="D99" s="8" t="s">
        <v>18</v>
      </c>
      <c r="E99" s="9" t="s">
        <v>18</v>
      </c>
      <c r="F99" s="24">
        <v>1</v>
      </c>
      <c r="G99" s="19">
        <v>3</v>
      </c>
      <c r="H99" s="8" t="s">
        <v>18</v>
      </c>
      <c r="I99" s="9" t="s">
        <v>18</v>
      </c>
      <c r="J99" s="60">
        <f t="shared" si="0"/>
        <v>3</v>
      </c>
      <c r="K99" s="44">
        <f>IF(A89=TRUE,J99*I89,0)</f>
        <v>30</v>
      </c>
      <c r="L99" s="1" t="s">
        <v>2</v>
      </c>
      <c r="M99" s="29">
        <v>2</v>
      </c>
      <c r="N99" s="23">
        <v>2</v>
      </c>
      <c r="O99" s="8" t="s">
        <v>18</v>
      </c>
      <c r="P99" s="9" t="s">
        <v>18</v>
      </c>
      <c r="Q99" s="24">
        <v>1</v>
      </c>
      <c r="R99" s="19">
        <v>3</v>
      </c>
      <c r="S99" s="8" t="s">
        <v>18</v>
      </c>
      <c r="T99" s="9" t="s">
        <v>18</v>
      </c>
      <c r="U99" s="60">
        <f t="shared" si="15"/>
        <v>3</v>
      </c>
      <c r="V99" s="44">
        <f>IF($A89=TRUE,U99*$I89,0)</f>
        <v>30</v>
      </c>
      <c r="W99" s="1" t="s">
        <v>2</v>
      </c>
      <c r="X99" s="29">
        <v>2</v>
      </c>
      <c r="Y99" s="23">
        <v>2</v>
      </c>
      <c r="Z99" s="8" t="s">
        <v>18</v>
      </c>
      <c r="AA99" s="9" t="s">
        <v>18</v>
      </c>
      <c r="AB99" s="24">
        <v>1</v>
      </c>
      <c r="AC99" s="19">
        <v>3</v>
      </c>
      <c r="AD99" s="8" t="s">
        <v>18</v>
      </c>
      <c r="AE99" s="9" t="s">
        <v>18</v>
      </c>
      <c r="AF99" s="60">
        <f t="shared" si="16"/>
        <v>3</v>
      </c>
      <c r="AG99" s="44">
        <f>IF($A89=TRUE,AF99*$I89,0)</f>
        <v>30</v>
      </c>
      <c r="AH99" s="1" t="s">
        <v>2</v>
      </c>
      <c r="AI99" s="29">
        <v>2</v>
      </c>
      <c r="AJ99" s="23">
        <v>2</v>
      </c>
      <c r="AK99" s="8" t="s">
        <v>18</v>
      </c>
      <c r="AL99" s="9" t="s">
        <v>18</v>
      </c>
      <c r="AM99" s="24">
        <v>1</v>
      </c>
      <c r="AN99" s="19">
        <v>3</v>
      </c>
      <c r="AO99" s="8" t="s">
        <v>18</v>
      </c>
      <c r="AP99" s="9" t="s">
        <v>18</v>
      </c>
      <c r="AQ99" s="60">
        <f t="shared" si="17"/>
        <v>3</v>
      </c>
      <c r="AR99" s="44">
        <f>IF($A89=TRUE,AQ99*$I89,0)</f>
        <v>30</v>
      </c>
      <c r="AS99" s="1" t="s">
        <v>2</v>
      </c>
      <c r="AT99" s="8" t="s">
        <v>18</v>
      </c>
      <c r="AU99" s="9" t="s">
        <v>18</v>
      </c>
      <c r="AV99" s="8" t="s">
        <v>18</v>
      </c>
      <c r="AW99" s="9" t="s">
        <v>18</v>
      </c>
      <c r="AX99" s="8" t="s">
        <v>18</v>
      </c>
      <c r="AY99" s="9" t="s">
        <v>18</v>
      </c>
      <c r="AZ99" s="8" t="s">
        <v>18</v>
      </c>
      <c r="BA99" s="9" t="s">
        <v>18</v>
      </c>
      <c r="BB99" s="60">
        <f t="shared" si="18"/>
        <v>0</v>
      </c>
      <c r="BC99" s="44">
        <f>IF($A89=TRUE,BB99*$I89,0)</f>
        <v>0</v>
      </c>
      <c r="BD99" s="44"/>
      <c r="BE99" s="44"/>
      <c r="BF99" s="44"/>
      <c r="BG99" s="44"/>
      <c r="BH99" s="44"/>
      <c r="BI99" s="44"/>
    </row>
    <row r="100" spans="1:62" x14ac:dyDescent="0.3">
      <c r="A100" s="1" t="s">
        <v>20</v>
      </c>
      <c r="B100" s="8" t="s">
        <v>18</v>
      </c>
      <c r="C100" s="9" t="s">
        <v>18</v>
      </c>
      <c r="D100" s="12" t="s">
        <v>18</v>
      </c>
      <c r="E100" s="26">
        <v>5</v>
      </c>
      <c r="F100" s="8" t="s">
        <v>18</v>
      </c>
      <c r="G100" s="9" t="s">
        <v>18</v>
      </c>
      <c r="H100" s="12" t="s">
        <v>18</v>
      </c>
      <c r="I100" s="26">
        <v>5</v>
      </c>
      <c r="J100" s="60">
        <f t="shared" si="0"/>
        <v>5</v>
      </c>
      <c r="K100" s="44">
        <f>IF(A89=TRUE,J100*I89,0)</f>
        <v>50</v>
      </c>
      <c r="L100" s="1" t="s">
        <v>20</v>
      </c>
      <c r="M100" s="8" t="s">
        <v>18</v>
      </c>
      <c r="N100" s="9" t="s">
        <v>18</v>
      </c>
      <c r="O100" s="12" t="s">
        <v>18</v>
      </c>
      <c r="P100" s="26">
        <v>5</v>
      </c>
      <c r="Q100" s="8" t="s">
        <v>18</v>
      </c>
      <c r="R100" s="9" t="s">
        <v>18</v>
      </c>
      <c r="S100" s="12" t="s">
        <v>18</v>
      </c>
      <c r="T100" s="26">
        <v>5</v>
      </c>
      <c r="U100" s="60">
        <f t="shared" si="15"/>
        <v>5</v>
      </c>
      <c r="V100" s="44">
        <f>IF($A89=TRUE,U100*$I89,0)</f>
        <v>50</v>
      </c>
      <c r="W100" s="1" t="s">
        <v>20</v>
      </c>
      <c r="X100" s="8" t="s">
        <v>18</v>
      </c>
      <c r="Y100" s="9" t="s">
        <v>18</v>
      </c>
      <c r="Z100" s="12" t="s">
        <v>18</v>
      </c>
      <c r="AA100" s="26">
        <v>5</v>
      </c>
      <c r="AB100" s="8" t="s">
        <v>18</v>
      </c>
      <c r="AC100" s="9" t="s">
        <v>18</v>
      </c>
      <c r="AD100" s="12" t="s">
        <v>18</v>
      </c>
      <c r="AE100" s="26">
        <v>5</v>
      </c>
      <c r="AF100" s="60">
        <f t="shared" si="16"/>
        <v>5</v>
      </c>
      <c r="AG100" s="44">
        <f>IF($A89=TRUE,AF100*$I89,0)</f>
        <v>50</v>
      </c>
      <c r="AH100" s="1" t="s">
        <v>20</v>
      </c>
      <c r="AI100" s="8" t="s">
        <v>18</v>
      </c>
      <c r="AJ100" s="9" t="s">
        <v>18</v>
      </c>
      <c r="AK100" s="12" t="s">
        <v>18</v>
      </c>
      <c r="AL100" s="26">
        <v>5</v>
      </c>
      <c r="AM100" s="8" t="s">
        <v>18</v>
      </c>
      <c r="AN100" s="9" t="s">
        <v>18</v>
      </c>
      <c r="AO100" s="12" t="s">
        <v>18</v>
      </c>
      <c r="AP100" s="26">
        <v>5</v>
      </c>
      <c r="AQ100" s="60">
        <f t="shared" si="17"/>
        <v>5</v>
      </c>
      <c r="AR100" s="44">
        <f>IF($A89=TRUE,AQ100*$I89,0)</f>
        <v>50</v>
      </c>
      <c r="AS100" s="1" t="s">
        <v>20</v>
      </c>
      <c r="AT100" s="8" t="s">
        <v>18</v>
      </c>
      <c r="AU100" s="9" t="s">
        <v>18</v>
      </c>
      <c r="AV100" s="8" t="s">
        <v>18</v>
      </c>
      <c r="AW100" s="9" t="s">
        <v>18</v>
      </c>
      <c r="AX100" s="8" t="s">
        <v>18</v>
      </c>
      <c r="AY100" s="9" t="s">
        <v>18</v>
      </c>
      <c r="AZ100" s="8" t="s">
        <v>18</v>
      </c>
      <c r="BA100" s="9" t="s">
        <v>18</v>
      </c>
      <c r="BB100" s="60">
        <f t="shared" si="18"/>
        <v>0</v>
      </c>
      <c r="BC100" s="44">
        <f>IF($A89=TRUE,BB100*$I89,0)</f>
        <v>0</v>
      </c>
      <c r="BD100" s="44"/>
      <c r="BE100" s="44"/>
      <c r="BF100" s="44"/>
      <c r="BG100" s="44"/>
      <c r="BH100" s="44"/>
      <c r="BI100" s="44"/>
    </row>
    <row r="101" spans="1:62" x14ac:dyDescent="0.3">
      <c r="A101" s="1" t="s">
        <v>3</v>
      </c>
      <c r="B101" s="8" t="s">
        <v>18</v>
      </c>
      <c r="C101" s="9" t="s">
        <v>18</v>
      </c>
      <c r="D101" s="29">
        <v>2</v>
      </c>
      <c r="E101" s="22">
        <v>1</v>
      </c>
      <c r="F101" s="8" t="s">
        <v>18</v>
      </c>
      <c r="G101" s="9" t="s">
        <v>18</v>
      </c>
      <c r="H101" s="12" t="s">
        <v>18</v>
      </c>
      <c r="I101" s="9" t="s">
        <v>18</v>
      </c>
      <c r="J101" s="60">
        <f t="shared" si="0"/>
        <v>2</v>
      </c>
      <c r="K101" s="44">
        <f>IF(A89=TRUE,J101*I89,0)</f>
        <v>20</v>
      </c>
      <c r="L101" s="1" t="s">
        <v>3</v>
      </c>
      <c r="M101" s="8" t="s">
        <v>18</v>
      </c>
      <c r="N101" s="9" t="s">
        <v>18</v>
      </c>
      <c r="O101" s="28">
        <v>3</v>
      </c>
      <c r="P101" s="22">
        <v>1</v>
      </c>
      <c r="Q101" s="8" t="s">
        <v>18</v>
      </c>
      <c r="R101" s="9" t="s">
        <v>18</v>
      </c>
      <c r="S101" s="12" t="s">
        <v>18</v>
      </c>
      <c r="T101" s="9" t="s">
        <v>18</v>
      </c>
      <c r="U101" s="60">
        <f t="shared" si="15"/>
        <v>3</v>
      </c>
      <c r="V101" s="44">
        <f>IF($A89=TRUE,U101*$I89,0)</f>
        <v>30</v>
      </c>
      <c r="W101" s="1" t="s">
        <v>3</v>
      </c>
      <c r="X101" s="8" t="s">
        <v>18</v>
      </c>
      <c r="Y101" s="9" t="s">
        <v>18</v>
      </c>
      <c r="Z101" s="16">
        <v>4</v>
      </c>
      <c r="AA101" s="22">
        <v>1</v>
      </c>
      <c r="AB101" s="8" t="s">
        <v>18</v>
      </c>
      <c r="AC101" s="9" t="s">
        <v>18</v>
      </c>
      <c r="AD101" s="12" t="s">
        <v>18</v>
      </c>
      <c r="AE101" s="9" t="s">
        <v>18</v>
      </c>
      <c r="AF101" s="60">
        <f t="shared" si="16"/>
        <v>4</v>
      </c>
      <c r="AG101" s="44">
        <f>IF($A89=TRUE,AF101*$I89,0)</f>
        <v>40</v>
      </c>
      <c r="AH101" s="1" t="s">
        <v>3</v>
      </c>
      <c r="AI101" s="8" t="s">
        <v>18</v>
      </c>
      <c r="AJ101" s="9" t="s">
        <v>18</v>
      </c>
      <c r="AK101" s="16">
        <v>4</v>
      </c>
      <c r="AL101" s="22">
        <v>1</v>
      </c>
      <c r="AM101" s="8" t="s">
        <v>18</v>
      </c>
      <c r="AN101" s="9" t="s">
        <v>18</v>
      </c>
      <c r="AO101" s="12" t="s">
        <v>18</v>
      </c>
      <c r="AP101" s="9" t="s">
        <v>18</v>
      </c>
      <c r="AQ101" s="60">
        <f t="shared" si="17"/>
        <v>4</v>
      </c>
      <c r="AR101" s="44">
        <f>IF($A89=TRUE,AQ101*$I89,0)</f>
        <v>40</v>
      </c>
      <c r="AS101" s="1" t="s">
        <v>3</v>
      </c>
      <c r="AT101" s="8" t="s">
        <v>18</v>
      </c>
      <c r="AU101" s="9" t="s">
        <v>18</v>
      </c>
      <c r="AV101" s="8" t="s">
        <v>18</v>
      </c>
      <c r="AW101" s="9" t="s">
        <v>18</v>
      </c>
      <c r="AX101" s="8" t="s">
        <v>18</v>
      </c>
      <c r="AY101" s="9" t="s">
        <v>18</v>
      </c>
      <c r="AZ101" s="53">
        <v>5</v>
      </c>
      <c r="BA101" s="53">
        <v>5</v>
      </c>
      <c r="BB101" s="60">
        <f t="shared" si="18"/>
        <v>5</v>
      </c>
      <c r="BC101" s="44">
        <f>IF($A89=TRUE,BB101*$I89,0)</f>
        <v>50</v>
      </c>
      <c r="BD101" s="44"/>
      <c r="BE101" s="44"/>
      <c r="BF101" s="44"/>
      <c r="BG101" s="44"/>
      <c r="BH101" s="44"/>
      <c r="BI101" s="44"/>
    </row>
    <row r="102" spans="1:62" x14ac:dyDescent="0.3">
      <c r="A102" s="13" t="s">
        <v>12</v>
      </c>
      <c r="B102" s="14" t="s">
        <v>18</v>
      </c>
      <c r="C102" s="15" t="s">
        <v>18</v>
      </c>
      <c r="D102" s="40">
        <v>2</v>
      </c>
      <c r="E102" s="41">
        <v>2</v>
      </c>
      <c r="F102" s="14" t="s">
        <v>18</v>
      </c>
      <c r="G102" s="15" t="s">
        <v>18</v>
      </c>
      <c r="H102" s="14" t="s">
        <v>18</v>
      </c>
      <c r="I102" s="15" t="s">
        <v>18</v>
      </c>
      <c r="J102" s="60">
        <f t="shared" si="0"/>
        <v>2</v>
      </c>
      <c r="K102" s="44">
        <f>IF(A89=TRUE,J102*I89,0)</f>
        <v>20</v>
      </c>
      <c r="L102" s="13" t="s">
        <v>12</v>
      </c>
      <c r="M102" s="14" t="s">
        <v>18</v>
      </c>
      <c r="N102" s="15" t="s">
        <v>18</v>
      </c>
      <c r="O102" s="30">
        <v>3</v>
      </c>
      <c r="P102" s="32">
        <v>3</v>
      </c>
      <c r="Q102" s="14" t="s">
        <v>18</v>
      </c>
      <c r="R102" s="15" t="s">
        <v>18</v>
      </c>
      <c r="S102" s="14" t="s">
        <v>18</v>
      </c>
      <c r="T102" s="15" t="s">
        <v>18</v>
      </c>
      <c r="U102" s="60">
        <f t="shared" si="15"/>
        <v>3</v>
      </c>
      <c r="V102" s="44">
        <f>IF($A89=TRUE,U102*$I89,0)</f>
        <v>30</v>
      </c>
      <c r="W102" s="13" t="s">
        <v>12</v>
      </c>
      <c r="X102" s="14" t="s">
        <v>18</v>
      </c>
      <c r="Y102" s="15" t="s">
        <v>18</v>
      </c>
      <c r="Z102" s="30">
        <v>3</v>
      </c>
      <c r="AA102" s="32">
        <v>3</v>
      </c>
      <c r="AB102" s="14" t="s">
        <v>18</v>
      </c>
      <c r="AC102" s="15" t="s">
        <v>18</v>
      </c>
      <c r="AD102" s="14" t="s">
        <v>18</v>
      </c>
      <c r="AE102" s="15" t="s">
        <v>18</v>
      </c>
      <c r="AF102" s="60">
        <f t="shared" si="16"/>
        <v>3</v>
      </c>
      <c r="AG102" s="44">
        <f>IF($A89=TRUE,AF102*$I89,0)</f>
        <v>30</v>
      </c>
      <c r="AH102" s="13" t="s">
        <v>12</v>
      </c>
      <c r="AI102" s="14" t="s">
        <v>18</v>
      </c>
      <c r="AJ102" s="15" t="s">
        <v>18</v>
      </c>
      <c r="AK102" s="30">
        <v>3</v>
      </c>
      <c r="AL102" s="32">
        <v>3</v>
      </c>
      <c r="AM102" s="14" t="s">
        <v>18</v>
      </c>
      <c r="AN102" s="15" t="s">
        <v>18</v>
      </c>
      <c r="AO102" s="14" t="s">
        <v>18</v>
      </c>
      <c r="AP102" s="15" t="s">
        <v>18</v>
      </c>
      <c r="AQ102" s="60">
        <f t="shared" si="17"/>
        <v>3</v>
      </c>
      <c r="AR102" s="44">
        <f>IF($A89=TRUE,AQ102*$I89,0)</f>
        <v>30</v>
      </c>
      <c r="AS102" s="13" t="s">
        <v>12</v>
      </c>
      <c r="AT102" s="14" t="s">
        <v>18</v>
      </c>
      <c r="AU102" s="15" t="s">
        <v>18</v>
      </c>
      <c r="AV102" s="16">
        <v>4</v>
      </c>
      <c r="AW102" s="17">
        <v>4</v>
      </c>
      <c r="AX102" s="14" t="s">
        <v>18</v>
      </c>
      <c r="AY102" s="15" t="s">
        <v>18</v>
      </c>
      <c r="AZ102" s="53">
        <v>5</v>
      </c>
      <c r="BA102" s="53">
        <v>5</v>
      </c>
      <c r="BB102" s="60">
        <f t="shared" si="18"/>
        <v>5</v>
      </c>
      <c r="BC102" s="44">
        <f>IF($A89=TRUE,BB102*$I89,0)</f>
        <v>50</v>
      </c>
      <c r="BD102" s="44"/>
      <c r="BE102" s="44"/>
      <c r="BF102" s="44"/>
      <c r="BG102" s="44"/>
      <c r="BH102" s="44"/>
      <c r="BI102" s="44"/>
    </row>
    <row r="103" spans="1:62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60"/>
    </row>
    <row r="104" spans="1:62" x14ac:dyDescent="0.3">
      <c r="A104" s="4" t="s">
        <v>19</v>
      </c>
      <c r="B104" s="2"/>
      <c r="C104" s="2"/>
      <c r="D104" s="2"/>
      <c r="E104" s="2"/>
      <c r="F104" s="2"/>
      <c r="G104" s="2"/>
      <c r="H104" s="2"/>
      <c r="I104" s="2" t="s">
        <v>26</v>
      </c>
      <c r="J104" s="60"/>
    </row>
    <row r="105" spans="1:62" x14ac:dyDescent="0.3">
      <c r="A105" s="2" t="b">
        <v>1</v>
      </c>
      <c r="B105" s="2"/>
      <c r="C105" s="2"/>
      <c r="D105" s="2"/>
      <c r="E105" s="2"/>
      <c r="F105" s="2"/>
      <c r="G105" s="2"/>
      <c r="H105" s="2"/>
      <c r="I105" s="2">
        <f>F12</f>
        <v>2</v>
      </c>
      <c r="J105" s="60"/>
    </row>
    <row r="106" spans="1:62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60"/>
      <c r="BJ106" s="2"/>
    </row>
    <row r="107" spans="1:62" x14ac:dyDescent="0.3">
      <c r="A107" s="10" t="s">
        <v>14</v>
      </c>
      <c r="B107" s="85" t="s">
        <v>7</v>
      </c>
      <c r="C107" s="86"/>
      <c r="D107" s="85" t="s">
        <v>10</v>
      </c>
      <c r="E107" s="86"/>
      <c r="F107" s="87" t="s">
        <v>11</v>
      </c>
      <c r="G107" s="86"/>
      <c r="H107" s="85" t="s">
        <v>13</v>
      </c>
      <c r="I107" s="86"/>
      <c r="J107" s="60"/>
      <c r="K107" s="42"/>
      <c r="L107" s="10" t="s">
        <v>14</v>
      </c>
      <c r="M107" s="85" t="s">
        <v>7</v>
      </c>
      <c r="N107" s="86"/>
      <c r="O107" s="85" t="s">
        <v>10</v>
      </c>
      <c r="P107" s="86"/>
      <c r="Q107" s="87" t="s">
        <v>11</v>
      </c>
      <c r="R107" s="86"/>
      <c r="S107" s="85" t="s">
        <v>13</v>
      </c>
      <c r="T107" s="86"/>
      <c r="U107" s="58"/>
      <c r="V107" s="42"/>
      <c r="W107" s="10" t="s">
        <v>14</v>
      </c>
      <c r="X107" s="85" t="s">
        <v>7</v>
      </c>
      <c r="Y107" s="86"/>
      <c r="Z107" s="85" t="s">
        <v>10</v>
      </c>
      <c r="AA107" s="86"/>
      <c r="AB107" s="87" t="s">
        <v>11</v>
      </c>
      <c r="AC107" s="86"/>
      <c r="AD107" s="85" t="s">
        <v>13</v>
      </c>
      <c r="AE107" s="86"/>
      <c r="AF107" s="58"/>
      <c r="AG107" s="42"/>
      <c r="AH107" s="10" t="s">
        <v>14</v>
      </c>
      <c r="AI107" s="85" t="s">
        <v>7</v>
      </c>
      <c r="AJ107" s="86"/>
      <c r="AK107" s="85" t="s">
        <v>10</v>
      </c>
      <c r="AL107" s="86"/>
      <c r="AM107" s="87" t="s">
        <v>11</v>
      </c>
      <c r="AN107" s="86"/>
      <c r="AO107" s="85" t="s">
        <v>13</v>
      </c>
      <c r="AP107" s="86"/>
      <c r="AQ107" s="58"/>
      <c r="AR107" s="42"/>
      <c r="AS107" s="10" t="s">
        <v>14</v>
      </c>
      <c r="AT107" s="85" t="s">
        <v>7</v>
      </c>
      <c r="AU107" s="86"/>
      <c r="AV107" s="85" t="s">
        <v>10</v>
      </c>
      <c r="AW107" s="86"/>
      <c r="AX107" s="87" t="s">
        <v>11</v>
      </c>
      <c r="AY107" s="86"/>
      <c r="AZ107" s="85" t="s">
        <v>13</v>
      </c>
      <c r="BA107" s="86"/>
      <c r="BB107" s="58"/>
      <c r="BC107" s="42"/>
      <c r="BD107" s="42"/>
      <c r="BE107" s="42"/>
      <c r="BF107" s="42"/>
      <c r="BG107" s="42"/>
      <c r="BH107" s="42"/>
      <c r="BI107" s="42"/>
    </row>
    <row r="108" spans="1:62" ht="15" thickBot="1" x14ac:dyDescent="0.35">
      <c r="A108" s="11" t="s">
        <v>0</v>
      </c>
      <c r="B108" s="5" t="s">
        <v>8</v>
      </c>
      <c r="C108" s="6" t="s">
        <v>9</v>
      </c>
      <c r="D108" s="7" t="s">
        <v>8</v>
      </c>
      <c r="E108" s="6" t="s">
        <v>9</v>
      </c>
      <c r="F108" s="7" t="s">
        <v>8</v>
      </c>
      <c r="G108" s="6" t="s">
        <v>9</v>
      </c>
      <c r="H108" s="7" t="s">
        <v>8</v>
      </c>
      <c r="I108" s="6" t="s">
        <v>9</v>
      </c>
      <c r="J108" s="60"/>
      <c r="K108" s="42"/>
      <c r="L108" s="11" t="s">
        <v>0</v>
      </c>
      <c r="M108" s="5" t="s">
        <v>8</v>
      </c>
      <c r="N108" s="6" t="s">
        <v>9</v>
      </c>
      <c r="O108" s="7" t="s">
        <v>8</v>
      </c>
      <c r="P108" s="6" t="s">
        <v>9</v>
      </c>
      <c r="Q108" s="7" t="s">
        <v>8</v>
      </c>
      <c r="R108" s="6" t="s">
        <v>9</v>
      </c>
      <c r="S108" s="7" t="s">
        <v>8</v>
      </c>
      <c r="T108" s="6" t="s">
        <v>9</v>
      </c>
      <c r="U108" s="58"/>
      <c r="V108" s="42"/>
      <c r="W108" s="11" t="s">
        <v>0</v>
      </c>
      <c r="X108" s="5" t="s">
        <v>8</v>
      </c>
      <c r="Y108" s="6" t="s">
        <v>9</v>
      </c>
      <c r="Z108" s="7" t="s">
        <v>8</v>
      </c>
      <c r="AA108" s="6" t="s">
        <v>9</v>
      </c>
      <c r="AB108" s="7" t="s">
        <v>8</v>
      </c>
      <c r="AC108" s="6" t="s">
        <v>9</v>
      </c>
      <c r="AD108" s="7" t="s">
        <v>8</v>
      </c>
      <c r="AE108" s="6" t="s">
        <v>9</v>
      </c>
      <c r="AF108" s="58"/>
      <c r="AG108" s="42"/>
      <c r="AH108" s="11" t="s">
        <v>0</v>
      </c>
      <c r="AI108" s="5" t="s">
        <v>8</v>
      </c>
      <c r="AJ108" s="6" t="s">
        <v>9</v>
      </c>
      <c r="AK108" s="7" t="s">
        <v>8</v>
      </c>
      <c r="AL108" s="6" t="s">
        <v>9</v>
      </c>
      <c r="AM108" s="7" t="s">
        <v>8</v>
      </c>
      <c r="AN108" s="6" t="s">
        <v>9</v>
      </c>
      <c r="AO108" s="7" t="s">
        <v>8</v>
      </c>
      <c r="AP108" s="6" t="s">
        <v>9</v>
      </c>
      <c r="AQ108" s="58"/>
      <c r="AR108" s="42"/>
      <c r="AS108" s="11" t="s">
        <v>0</v>
      </c>
      <c r="AT108" s="5" t="s">
        <v>8</v>
      </c>
      <c r="AU108" s="6" t="s">
        <v>9</v>
      </c>
      <c r="AV108" s="7" t="s">
        <v>8</v>
      </c>
      <c r="AW108" s="6" t="s">
        <v>9</v>
      </c>
      <c r="AX108" s="7" t="s">
        <v>8</v>
      </c>
      <c r="AY108" s="6" t="s">
        <v>9</v>
      </c>
      <c r="AZ108" s="7" t="s">
        <v>8</v>
      </c>
      <c r="BA108" s="6" t="s">
        <v>9</v>
      </c>
      <c r="BB108" s="58"/>
      <c r="BC108" s="42"/>
      <c r="BD108" s="42"/>
      <c r="BE108" s="42"/>
      <c r="BF108" s="42"/>
      <c r="BG108" s="42"/>
      <c r="BH108" s="42"/>
      <c r="BI108" s="42"/>
    </row>
    <row r="109" spans="1:62" ht="15" thickTop="1" x14ac:dyDescent="0.3">
      <c r="A109" s="1" t="s">
        <v>4</v>
      </c>
      <c r="B109" s="21">
        <v>5</v>
      </c>
      <c r="C109" s="26">
        <v>5</v>
      </c>
      <c r="D109" s="21">
        <v>5</v>
      </c>
      <c r="E109" s="26">
        <v>5</v>
      </c>
      <c r="F109" s="25">
        <v>4</v>
      </c>
      <c r="G109" s="17">
        <v>4</v>
      </c>
      <c r="H109" s="8" t="s">
        <v>18</v>
      </c>
      <c r="I109" s="9" t="s">
        <v>18</v>
      </c>
      <c r="J109" s="60">
        <f t="shared" si="0"/>
        <v>5</v>
      </c>
      <c r="K109" s="44">
        <f>IF(A105=TRUE,J109*I105,0)</f>
        <v>10</v>
      </c>
      <c r="L109" s="1" t="s">
        <v>4</v>
      </c>
      <c r="M109" s="21">
        <v>5</v>
      </c>
      <c r="N109" s="26">
        <v>5</v>
      </c>
      <c r="O109" s="21">
        <v>5</v>
      </c>
      <c r="P109" s="26">
        <v>5</v>
      </c>
      <c r="Q109" s="25">
        <v>4</v>
      </c>
      <c r="R109" s="17">
        <v>4</v>
      </c>
      <c r="S109" s="8" t="s">
        <v>18</v>
      </c>
      <c r="T109" s="9" t="s">
        <v>18</v>
      </c>
      <c r="U109" s="60">
        <f>MAX(M109:T109)</f>
        <v>5</v>
      </c>
      <c r="V109" s="44">
        <f>IF($A105=TRUE,U109*$I105,0)</f>
        <v>10</v>
      </c>
      <c r="W109" s="1" t="s">
        <v>4</v>
      </c>
      <c r="X109" s="21">
        <v>5</v>
      </c>
      <c r="Y109" s="26">
        <v>5</v>
      </c>
      <c r="Z109" s="21">
        <v>5</v>
      </c>
      <c r="AA109" s="26">
        <v>5</v>
      </c>
      <c r="AB109" s="25">
        <v>4</v>
      </c>
      <c r="AC109" s="17">
        <v>4</v>
      </c>
      <c r="AD109" s="8" t="s">
        <v>18</v>
      </c>
      <c r="AE109" s="9" t="s">
        <v>18</v>
      </c>
      <c r="AF109" s="60">
        <f>MAX(X109:AE109)</f>
        <v>5</v>
      </c>
      <c r="AG109" s="44">
        <f>IF($A105=TRUE,AF109*$I105,0)</f>
        <v>10</v>
      </c>
      <c r="AH109" s="1" t="s">
        <v>4</v>
      </c>
      <c r="AI109" s="21">
        <v>5</v>
      </c>
      <c r="AJ109" s="26">
        <v>5</v>
      </c>
      <c r="AK109" s="21">
        <v>5</v>
      </c>
      <c r="AL109" s="26">
        <v>5</v>
      </c>
      <c r="AM109" s="25">
        <v>4</v>
      </c>
      <c r="AN109" s="17">
        <v>4</v>
      </c>
      <c r="AO109" s="8" t="s">
        <v>18</v>
      </c>
      <c r="AP109" s="9" t="s">
        <v>18</v>
      </c>
      <c r="AQ109" s="60">
        <f>MAX(AI109:AP109)</f>
        <v>5</v>
      </c>
      <c r="AR109" s="44">
        <f>IF($A105=TRUE,AQ109*$I105,0)</f>
        <v>10</v>
      </c>
      <c r="AS109" s="1" t="s">
        <v>4</v>
      </c>
      <c r="AT109" s="8" t="s">
        <v>18</v>
      </c>
      <c r="AU109" s="9" t="s">
        <v>18</v>
      </c>
      <c r="AV109" s="8" t="s">
        <v>18</v>
      </c>
      <c r="AW109" s="9" t="s">
        <v>18</v>
      </c>
      <c r="AX109" s="8" t="s">
        <v>18</v>
      </c>
      <c r="AY109" s="9" t="s">
        <v>18</v>
      </c>
      <c r="AZ109" s="8" t="s">
        <v>18</v>
      </c>
      <c r="BA109" s="9" t="s">
        <v>18</v>
      </c>
      <c r="BB109" s="60">
        <f>MAX(AT109:BA109)</f>
        <v>0</v>
      </c>
      <c r="BC109" s="44">
        <f>IF($A105=TRUE,BB109*$I105,0)</f>
        <v>0</v>
      </c>
      <c r="BD109" s="44"/>
      <c r="BE109" s="44"/>
      <c r="BF109" s="44"/>
      <c r="BG109" s="44"/>
      <c r="BH109" s="44"/>
      <c r="BI109" s="44"/>
    </row>
    <row r="110" spans="1:62" x14ac:dyDescent="0.3">
      <c r="A110" s="1" t="s">
        <v>5</v>
      </c>
      <c r="B110" s="27">
        <v>5</v>
      </c>
      <c r="C110" s="26">
        <v>5</v>
      </c>
      <c r="D110" s="8" t="s">
        <v>18</v>
      </c>
      <c r="E110" s="9" t="s">
        <v>18</v>
      </c>
      <c r="F110" s="25">
        <v>4</v>
      </c>
      <c r="G110" s="17">
        <v>4</v>
      </c>
      <c r="H110" s="8" t="s">
        <v>18</v>
      </c>
      <c r="I110" s="9" t="s">
        <v>18</v>
      </c>
      <c r="J110" s="60">
        <f t="shared" si="0"/>
        <v>5</v>
      </c>
      <c r="K110" s="44">
        <f>IF(A105=TRUE,J110*I105,0)</f>
        <v>10</v>
      </c>
      <c r="L110" s="1" t="s">
        <v>5</v>
      </c>
      <c r="M110" s="27">
        <v>5</v>
      </c>
      <c r="N110" s="26">
        <v>5</v>
      </c>
      <c r="O110" s="8" t="s">
        <v>18</v>
      </c>
      <c r="P110" s="9" t="s">
        <v>18</v>
      </c>
      <c r="Q110" s="25">
        <v>4</v>
      </c>
      <c r="R110" s="17">
        <v>4</v>
      </c>
      <c r="S110" s="8" t="s">
        <v>18</v>
      </c>
      <c r="T110" s="9" t="s">
        <v>18</v>
      </c>
      <c r="U110" s="60">
        <f t="shared" ref="U110:U118" si="19">MAX(M110:T110)</f>
        <v>5</v>
      </c>
      <c r="V110" s="44">
        <f>IF($A105=TRUE,U110*$I105,0)</f>
        <v>10</v>
      </c>
      <c r="W110" s="1" t="s">
        <v>5</v>
      </c>
      <c r="X110" s="27">
        <v>5</v>
      </c>
      <c r="Y110" s="26">
        <v>5</v>
      </c>
      <c r="Z110" s="8" t="s">
        <v>18</v>
      </c>
      <c r="AA110" s="9" t="s">
        <v>18</v>
      </c>
      <c r="AB110" s="25">
        <v>4</v>
      </c>
      <c r="AC110" s="17">
        <v>4</v>
      </c>
      <c r="AD110" s="8" t="s">
        <v>18</v>
      </c>
      <c r="AE110" s="9" t="s">
        <v>18</v>
      </c>
      <c r="AF110" s="60">
        <f t="shared" ref="AF110:AF118" si="20">MAX(X110:AE110)</f>
        <v>5</v>
      </c>
      <c r="AG110" s="44">
        <f>IF($A105=TRUE,AF110*$I105,0)</f>
        <v>10</v>
      </c>
      <c r="AH110" s="1" t="s">
        <v>5</v>
      </c>
      <c r="AI110" s="27">
        <v>5</v>
      </c>
      <c r="AJ110" s="26">
        <v>5</v>
      </c>
      <c r="AK110" s="8" t="s">
        <v>18</v>
      </c>
      <c r="AL110" s="9" t="s">
        <v>18</v>
      </c>
      <c r="AM110" s="25">
        <v>4</v>
      </c>
      <c r="AN110" s="17">
        <v>4</v>
      </c>
      <c r="AO110" s="8" t="s">
        <v>18</v>
      </c>
      <c r="AP110" s="9" t="s">
        <v>18</v>
      </c>
      <c r="AQ110" s="60">
        <f t="shared" ref="AQ110:AQ118" si="21">MAX(AI110:AP110)</f>
        <v>5</v>
      </c>
      <c r="AR110" s="44">
        <f>IF($A105=TRUE,AQ110*$I105,0)</f>
        <v>10</v>
      </c>
      <c r="AS110" s="1" t="s">
        <v>5</v>
      </c>
      <c r="AT110" s="8" t="s">
        <v>18</v>
      </c>
      <c r="AU110" s="9" t="s">
        <v>18</v>
      </c>
      <c r="AV110" s="8" t="s">
        <v>18</v>
      </c>
      <c r="AW110" s="9" t="s">
        <v>18</v>
      </c>
      <c r="AX110" s="8" t="s">
        <v>18</v>
      </c>
      <c r="AY110" s="9" t="s">
        <v>18</v>
      </c>
      <c r="AZ110" s="8" t="s">
        <v>18</v>
      </c>
      <c r="BA110" s="9" t="s">
        <v>18</v>
      </c>
      <c r="BB110" s="60">
        <f t="shared" ref="BB110:BB118" si="22">MAX(AT110:BA110)</f>
        <v>0</v>
      </c>
      <c r="BC110" s="44">
        <f>IF($A105=TRUE,BB110*$I105,0)</f>
        <v>0</v>
      </c>
      <c r="BD110" s="44"/>
      <c r="BE110" s="44"/>
      <c r="BF110" s="44"/>
      <c r="BG110" s="44"/>
      <c r="BH110" s="44"/>
      <c r="BI110" s="44"/>
    </row>
    <row r="111" spans="1:62" x14ac:dyDescent="0.3">
      <c r="A111" s="1" t="s">
        <v>6</v>
      </c>
      <c r="B111" s="27">
        <v>5</v>
      </c>
      <c r="C111" s="26">
        <v>5</v>
      </c>
      <c r="D111" s="8" t="s">
        <v>18</v>
      </c>
      <c r="E111" s="9" t="s">
        <v>18</v>
      </c>
      <c r="F111" s="25">
        <v>4</v>
      </c>
      <c r="G111" s="17">
        <v>4</v>
      </c>
      <c r="H111" s="8" t="s">
        <v>18</v>
      </c>
      <c r="I111" s="9" t="s">
        <v>18</v>
      </c>
      <c r="J111" s="60">
        <f t="shared" si="0"/>
        <v>5</v>
      </c>
      <c r="K111" s="44">
        <f>IF(A105=TRUE,J111*I105,0)</f>
        <v>10</v>
      </c>
      <c r="L111" s="1" t="s">
        <v>6</v>
      </c>
      <c r="M111" s="27">
        <v>5</v>
      </c>
      <c r="N111" s="26">
        <v>5</v>
      </c>
      <c r="O111" s="8" t="s">
        <v>18</v>
      </c>
      <c r="P111" s="9" t="s">
        <v>18</v>
      </c>
      <c r="Q111" s="25">
        <v>4</v>
      </c>
      <c r="R111" s="17">
        <v>4</v>
      </c>
      <c r="S111" s="8" t="s">
        <v>18</v>
      </c>
      <c r="T111" s="9" t="s">
        <v>18</v>
      </c>
      <c r="U111" s="60">
        <f t="shared" si="19"/>
        <v>5</v>
      </c>
      <c r="V111" s="44">
        <f>IF($A105=TRUE,U111*$I105,0)</f>
        <v>10</v>
      </c>
      <c r="W111" s="1" t="s">
        <v>6</v>
      </c>
      <c r="X111" s="27">
        <v>5</v>
      </c>
      <c r="Y111" s="26">
        <v>5</v>
      </c>
      <c r="Z111" s="8" t="s">
        <v>18</v>
      </c>
      <c r="AA111" s="9" t="s">
        <v>18</v>
      </c>
      <c r="AB111" s="25">
        <v>4</v>
      </c>
      <c r="AC111" s="17">
        <v>4</v>
      </c>
      <c r="AD111" s="8" t="s">
        <v>18</v>
      </c>
      <c r="AE111" s="9" t="s">
        <v>18</v>
      </c>
      <c r="AF111" s="60">
        <f t="shared" si="20"/>
        <v>5</v>
      </c>
      <c r="AG111" s="44">
        <f>IF($A105=TRUE,AF111*$I105,0)</f>
        <v>10</v>
      </c>
      <c r="AH111" s="1" t="s">
        <v>6</v>
      </c>
      <c r="AI111" s="27">
        <v>5</v>
      </c>
      <c r="AJ111" s="26">
        <v>5</v>
      </c>
      <c r="AK111" s="8" t="s">
        <v>18</v>
      </c>
      <c r="AL111" s="9" t="s">
        <v>18</v>
      </c>
      <c r="AM111" s="25">
        <v>4</v>
      </c>
      <c r="AN111" s="17">
        <v>4</v>
      </c>
      <c r="AO111" s="8" t="s">
        <v>18</v>
      </c>
      <c r="AP111" s="9" t="s">
        <v>18</v>
      </c>
      <c r="AQ111" s="60">
        <f t="shared" si="21"/>
        <v>5</v>
      </c>
      <c r="AR111" s="44">
        <f>IF($A105=TRUE,AQ111*$I105,0)</f>
        <v>10</v>
      </c>
      <c r="AS111" s="1" t="s">
        <v>6</v>
      </c>
      <c r="AT111" s="8" t="s">
        <v>18</v>
      </c>
      <c r="AU111" s="9" t="s">
        <v>18</v>
      </c>
      <c r="AV111" s="8" t="s">
        <v>18</v>
      </c>
      <c r="AW111" s="9" t="s">
        <v>18</v>
      </c>
      <c r="AX111" s="8" t="s">
        <v>18</v>
      </c>
      <c r="AY111" s="9" t="s">
        <v>18</v>
      </c>
      <c r="AZ111" s="8" t="s">
        <v>18</v>
      </c>
      <c r="BA111" s="9" t="s">
        <v>18</v>
      </c>
      <c r="BB111" s="60">
        <f t="shared" si="22"/>
        <v>0</v>
      </c>
      <c r="BC111" s="44">
        <f>IF($A105=TRUE,BB111*$I105,0)</f>
        <v>0</v>
      </c>
      <c r="BD111" s="44"/>
      <c r="BE111" s="44"/>
      <c r="BF111" s="44"/>
      <c r="BG111" s="44"/>
      <c r="BH111" s="44"/>
      <c r="BI111" s="44"/>
    </row>
    <row r="112" spans="1:62" x14ac:dyDescent="0.3">
      <c r="A112" s="1" t="s">
        <v>1</v>
      </c>
      <c r="B112" s="8" t="s">
        <v>18</v>
      </c>
      <c r="C112" s="9" t="s">
        <v>18</v>
      </c>
      <c r="D112" s="8" t="s">
        <v>18</v>
      </c>
      <c r="E112" s="9" t="s">
        <v>18</v>
      </c>
      <c r="F112" s="8" t="s">
        <v>18</v>
      </c>
      <c r="G112" s="9" t="s">
        <v>18</v>
      </c>
      <c r="H112" s="24">
        <v>1</v>
      </c>
      <c r="I112" s="22">
        <v>1</v>
      </c>
      <c r="J112" s="60">
        <f t="shared" si="0"/>
        <v>1</v>
      </c>
      <c r="K112" s="44">
        <f>IF(A105=TRUE,J112*I105,0)</f>
        <v>2</v>
      </c>
      <c r="L112" s="1" t="s">
        <v>1</v>
      </c>
      <c r="M112" s="8" t="s">
        <v>18</v>
      </c>
      <c r="N112" s="9" t="s">
        <v>18</v>
      </c>
      <c r="O112" s="8" t="s">
        <v>18</v>
      </c>
      <c r="P112" s="9" t="s">
        <v>18</v>
      </c>
      <c r="Q112" s="8" t="s">
        <v>18</v>
      </c>
      <c r="R112" s="9" t="s">
        <v>18</v>
      </c>
      <c r="S112" s="24">
        <v>1</v>
      </c>
      <c r="T112" s="22">
        <v>1</v>
      </c>
      <c r="U112" s="60">
        <f t="shared" si="19"/>
        <v>1</v>
      </c>
      <c r="V112" s="44">
        <f>IF($A105=TRUE,U112*$I105,0)</f>
        <v>2</v>
      </c>
      <c r="W112" s="1" t="s">
        <v>1</v>
      </c>
      <c r="X112" s="8" t="s">
        <v>18</v>
      </c>
      <c r="Y112" s="9" t="s">
        <v>18</v>
      </c>
      <c r="Z112" s="8" t="s">
        <v>18</v>
      </c>
      <c r="AA112" s="9" t="s">
        <v>18</v>
      </c>
      <c r="AB112" s="8" t="s">
        <v>18</v>
      </c>
      <c r="AC112" s="9" t="s">
        <v>18</v>
      </c>
      <c r="AD112" s="24">
        <v>1</v>
      </c>
      <c r="AE112" s="22">
        <v>1</v>
      </c>
      <c r="AF112" s="60">
        <f t="shared" si="20"/>
        <v>1</v>
      </c>
      <c r="AG112" s="44">
        <f>IF($A105=TRUE,AF112*$I105,0)</f>
        <v>2</v>
      </c>
      <c r="AH112" s="1" t="s">
        <v>1</v>
      </c>
      <c r="AI112" s="8" t="s">
        <v>18</v>
      </c>
      <c r="AJ112" s="9" t="s">
        <v>18</v>
      </c>
      <c r="AK112" s="8" t="s">
        <v>18</v>
      </c>
      <c r="AL112" s="9" t="s">
        <v>18</v>
      </c>
      <c r="AM112" s="8" t="s">
        <v>18</v>
      </c>
      <c r="AN112" s="9" t="s">
        <v>18</v>
      </c>
      <c r="AO112" s="24">
        <v>1</v>
      </c>
      <c r="AP112" s="22">
        <v>1</v>
      </c>
      <c r="AQ112" s="60">
        <f t="shared" si="21"/>
        <v>1</v>
      </c>
      <c r="AR112" s="44">
        <f>IF($A105=TRUE,AQ112*$I105,0)</f>
        <v>2</v>
      </c>
      <c r="AS112" s="1" t="s">
        <v>1</v>
      </c>
      <c r="AT112" s="8" t="s">
        <v>18</v>
      </c>
      <c r="AU112" s="9" t="s">
        <v>18</v>
      </c>
      <c r="AV112" s="8" t="s">
        <v>18</v>
      </c>
      <c r="AW112" s="9" t="s">
        <v>18</v>
      </c>
      <c r="AX112" s="8" t="s">
        <v>18</v>
      </c>
      <c r="AY112" s="9" t="s">
        <v>18</v>
      </c>
      <c r="AZ112" s="8" t="s">
        <v>18</v>
      </c>
      <c r="BA112" s="9" t="s">
        <v>18</v>
      </c>
      <c r="BB112" s="60">
        <f t="shared" si="22"/>
        <v>0</v>
      </c>
      <c r="BC112" s="44">
        <f>IF($A105=TRUE,BB112*$I105,0)</f>
        <v>0</v>
      </c>
      <c r="BD112" s="44"/>
      <c r="BE112" s="44"/>
      <c r="BF112" s="44"/>
      <c r="BG112" s="44"/>
      <c r="BH112" s="44"/>
      <c r="BI112" s="44"/>
    </row>
    <row r="113" spans="1:61" x14ac:dyDescent="0.3">
      <c r="A113" s="1" t="s">
        <v>16</v>
      </c>
      <c r="B113" s="8" t="s">
        <v>18</v>
      </c>
      <c r="C113" s="9" t="s">
        <v>18</v>
      </c>
      <c r="D113" s="8" t="s">
        <v>18</v>
      </c>
      <c r="E113" s="9" t="s">
        <v>18</v>
      </c>
      <c r="F113" s="8" t="s">
        <v>18</v>
      </c>
      <c r="G113" s="26">
        <v>5</v>
      </c>
      <c r="H113" s="8" t="s">
        <v>18</v>
      </c>
      <c r="I113" s="26">
        <v>5</v>
      </c>
      <c r="J113" s="60">
        <f t="shared" si="0"/>
        <v>5</v>
      </c>
      <c r="K113" s="44">
        <f>IF(A105=TRUE,J113*I105,0)</f>
        <v>10</v>
      </c>
      <c r="L113" s="1" t="s">
        <v>16</v>
      </c>
      <c r="M113" s="8" t="s">
        <v>18</v>
      </c>
      <c r="N113" s="9" t="s">
        <v>18</v>
      </c>
      <c r="O113" s="8" t="s">
        <v>18</v>
      </c>
      <c r="P113" s="9" t="s">
        <v>18</v>
      </c>
      <c r="Q113" s="27">
        <v>5</v>
      </c>
      <c r="R113" s="26">
        <v>5</v>
      </c>
      <c r="S113" s="8" t="s">
        <v>18</v>
      </c>
      <c r="T113" s="26">
        <v>5</v>
      </c>
      <c r="U113" s="60">
        <f t="shared" si="19"/>
        <v>5</v>
      </c>
      <c r="V113" s="44">
        <f>IF($A105=TRUE,U113*$I105,0)</f>
        <v>10</v>
      </c>
      <c r="W113" s="1" t="s">
        <v>16</v>
      </c>
      <c r="X113" s="8" t="s">
        <v>18</v>
      </c>
      <c r="Y113" s="9" t="s">
        <v>18</v>
      </c>
      <c r="Z113" s="8" t="s">
        <v>18</v>
      </c>
      <c r="AA113" s="9" t="s">
        <v>18</v>
      </c>
      <c r="AB113" s="27">
        <v>5</v>
      </c>
      <c r="AC113" s="26">
        <v>5</v>
      </c>
      <c r="AD113" s="8" t="s">
        <v>18</v>
      </c>
      <c r="AE113" s="26">
        <v>5</v>
      </c>
      <c r="AF113" s="60">
        <f t="shared" si="20"/>
        <v>5</v>
      </c>
      <c r="AG113" s="44">
        <f>IF($A105=TRUE,AF113*$I105,0)</f>
        <v>10</v>
      </c>
      <c r="AH113" s="1" t="s">
        <v>16</v>
      </c>
      <c r="AI113" s="8" t="s">
        <v>18</v>
      </c>
      <c r="AJ113" s="9" t="s">
        <v>18</v>
      </c>
      <c r="AK113" s="8" t="s">
        <v>18</v>
      </c>
      <c r="AL113" s="9" t="s">
        <v>18</v>
      </c>
      <c r="AM113" s="27">
        <v>5</v>
      </c>
      <c r="AN113" s="26">
        <v>5</v>
      </c>
      <c r="AO113" s="8" t="s">
        <v>18</v>
      </c>
      <c r="AP113" s="26">
        <v>5</v>
      </c>
      <c r="AQ113" s="60">
        <f t="shared" si="21"/>
        <v>5</v>
      </c>
      <c r="AR113" s="44">
        <f>IF($A105=TRUE,AQ113*$I105,0)</f>
        <v>10</v>
      </c>
      <c r="AS113" s="1" t="s">
        <v>16</v>
      </c>
      <c r="AT113" s="8" t="s">
        <v>18</v>
      </c>
      <c r="AU113" s="9" t="s">
        <v>18</v>
      </c>
      <c r="AV113" s="8" t="s">
        <v>18</v>
      </c>
      <c r="AW113" s="9" t="s">
        <v>18</v>
      </c>
      <c r="AX113" s="8" t="s">
        <v>18</v>
      </c>
      <c r="AY113" s="9" t="s">
        <v>18</v>
      </c>
      <c r="AZ113" s="8" t="s">
        <v>18</v>
      </c>
      <c r="BA113" s="9" t="s">
        <v>18</v>
      </c>
      <c r="BB113" s="60">
        <f t="shared" si="22"/>
        <v>0</v>
      </c>
      <c r="BC113" s="44">
        <f>IF($A105=TRUE,BB113*$I105,0)</f>
        <v>0</v>
      </c>
      <c r="BD113" s="44"/>
      <c r="BE113" s="44"/>
      <c r="BF113" s="44"/>
      <c r="BG113" s="44"/>
      <c r="BH113" s="44"/>
      <c r="BI113" s="44"/>
    </row>
    <row r="114" spans="1:61" x14ac:dyDescent="0.3">
      <c r="A114" s="1" t="s">
        <v>17</v>
      </c>
      <c r="B114" s="8" t="s">
        <v>18</v>
      </c>
      <c r="C114" s="9" t="s">
        <v>18</v>
      </c>
      <c r="D114" s="25">
        <v>5</v>
      </c>
      <c r="E114" s="17">
        <v>5</v>
      </c>
      <c r="F114" s="8" t="s">
        <v>18</v>
      </c>
      <c r="G114" s="9" t="s">
        <v>18</v>
      </c>
      <c r="H114" s="20">
        <v>2</v>
      </c>
      <c r="I114" s="23">
        <v>2</v>
      </c>
      <c r="J114" s="60">
        <f t="shared" si="0"/>
        <v>5</v>
      </c>
      <c r="K114" s="44">
        <f>IF(A105=TRUE,J114*I105,0)</f>
        <v>10</v>
      </c>
      <c r="L114" s="1" t="s">
        <v>17</v>
      </c>
      <c r="M114" s="8" t="s">
        <v>18</v>
      </c>
      <c r="N114" s="9" t="s">
        <v>18</v>
      </c>
      <c r="O114" s="25">
        <v>5</v>
      </c>
      <c r="P114" s="17">
        <v>5</v>
      </c>
      <c r="Q114" s="8" t="s">
        <v>18</v>
      </c>
      <c r="R114" s="9" t="s">
        <v>18</v>
      </c>
      <c r="S114" s="18">
        <v>3</v>
      </c>
      <c r="T114" s="19">
        <v>3</v>
      </c>
      <c r="U114" s="60">
        <f t="shared" si="19"/>
        <v>5</v>
      </c>
      <c r="V114" s="44">
        <f>IF($A105=TRUE,U114*$I105,0)</f>
        <v>10</v>
      </c>
      <c r="W114" s="1" t="s">
        <v>17</v>
      </c>
      <c r="X114" s="8" t="s">
        <v>18</v>
      </c>
      <c r="Y114" s="9" t="s">
        <v>18</v>
      </c>
      <c r="Z114" s="25">
        <v>5</v>
      </c>
      <c r="AA114" s="17">
        <v>5</v>
      </c>
      <c r="AB114" s="8" t="s">
        <v>18</v>
      </c>
      <c r="AC114" s="9" t="s">
        <v>18</v>
      </c>
      <c r="AD114" s="18">
        <v>3</v>
      </c>
      <c r="AE114" s="19">
        <v>3</v>
      </c>
      <c r="AF114" s="60">
        <f t="shared" si="20"/>
        <v>5</v>
      </c>
      <c r="AG114" s="44">
        <f>IF($A105=TRUE,AF114*$I105,0)</f>
        <v>10</v>
      </c>
      <c r="AH114" s="1" t="s">
        <v>17</v>
      </c>
      <c r="AI114" s="8" t="s">
        <v>18</v>
      </c>
      <c r="AJ114" s="9" t="s">
        <v>18</v>
      </c>
      <c r="AK114" s="25">
        <v>5</v>
      </c>
      <c r="AL114" s="17">
        <v>5</v>
      </c>
      <c r="AM114" s="8" t="s">
        <v>18</v>
      </c>
      <c r="AN114" s="9" t="s">
        <v>18</v>
      </c>
      <c r="AO114" s="18">
        <v>3</v>
      </c>
      <c r="AP114" s="19">
        <v>3</v>
      </c>
      <c r="AQ114" s="60">
        <f t="shared" si="21"/>
        <v>5</v>
      </c>
      <c r="AR114" s="44">
        <f>IF($A105=TRUE,AQ114*$I105,0)</f>
        <v>10</v>
      </c>
      <c r="AS114" s="1" t="s">
        <v>17</v>
      </c>
      <c r="AT114" s="8" t="s">
        <v>18</v>
      </c>
      <c r="AU114" s="9" t="s">
        <v>18</v>
      </c>
      <c r="AV114" s="27">
        <v>5</v>
      </c>
      <c r="AW114" s="26">
        <v>5</v>
      </c>
      <c r="AX114" s="8" t="s">
        <v>18</v>
      </c>
      <c r="AY114" s="9" t="s">
        <v>18</v>
      </c>
      <c r="AZ114" s="53">
        <v>5</v>
      </c>
      <c r="BA114" s="41">
        <v>2</v>
      </c>
      <c r="BB114" s="60">
        <f t="shared" si="22"/>
        <v>5</v>
      </c>
      <c r="BC114" s="44">
        <f>IF($A105=TRUE,BB114*$I105,0)</f>
        <v>10</v>
      </c>
      <c r="BD114" s="44"/>
      <c r="BE114" s="44"/>
      <c r="BF114" s="44"/>
      <c r="BG114" s="44"/>
      <c r="BH114" s="44"/>
      <c r="BI114" s="44"/>
    </row>
    <row r="115" spans="1:61" x14ac:dyDescent="0.3">
      <c r="A115" s="1" t="s">
        <v>2</v>
      </c>
      <c r="B115" s="51">
        <v>4</v>
      </c>
      <c r="C115" s="48">
        <v>4</v>
      </c>
      <c r="D115" s="8" t="s">
        <v>18</v>
      </c>
      <c r="E115" s="9" t="s">
        <v>18</v>
      </c>
      <c r="F115" s="51">
        <v>4</v>
      </c>
      <c r="G115" s="48">
        <v>4</v>
      </c>
      <c r="H115" s="8" t="s">
        <v>18</v>
      </c>
      <c r="I115" s="9" t="s">
        <v>18</v>
      </c>
      <c r="J115" s="60">
        <f t="shared" si="0"/>
        <v>4</v>
      </c>
      <c r="K115" s="44">
        <f>IF(A105=TRUE,J115*I105,0)</f>
        <v>8</v>
      </c>
      <c r="L115" s="1" t="s">
        <v>2</v>
      </c>
      <c r="M115" s="51">
        <v>4</v>
      </c>
      <c r="N115" s="48">
        <v>4</v>
      </c>
      <c r="O115" s="8" t="s">
        <v>18</v>
      </c>
      <c r="P115" s="9" t="s">
        <v>18</v>
      </c>
      <c r="Q115" s="51">
        <v>4</v>
      </c>
      <c r="R115" s="48">
        <v>4</v>
      </c>
      <c r="S115" s="8" t="s">
        <v>18</v>
      </c>
      <c r="T115" s="9" t="s">
        <v>18</v>
      </c>
      <c r="U115" s="60">
        <f t="shared" si="19"/>
        <v>4</v>
      </c>
      <c r="V115" s="44">
        <f>IF($A105=TRUE,U115*$I105,0)</f>
        <v>8</v>
      </c>
      <c r="W115" s="1" t="s">
        <v>2</v>
      </c>
      <c r="X115" s="51">
        <v>4</v>
      </c>
      <c r="Y115" s="48">
        <v>4</v>
      </c>
      <c r="Z115" s="8" t="s">
        <v>18</v>
      </c>
      <c r="AA115" s="9" t="s">
        <v>18</v>
      </c>
      <c r="AB115" s="51">
        <v>4</v>
      </c>
      <c r="AC115" s="48">
        <v>4</v>
      </c>
      <c r="AD115" s="8" t="s">
        <v>18</v>
      </c>
      <c r="AE115" s="9" t="s">
        <v>18</v>
      </c>
      <c r="AF115" s="60">
        <f t="shared" si="20"/>
        <v>4</v>
      </c>
      <c r="AG115" s="44">
        <f>IF($A105=TRUE,AF115*$I105,0)</f>
        <v>8</v>
      </c>
      <c r="AH115" s="1" t="s">
        <v>2</v>
      </c>
      <c r="AI115" s="51">
        <v>4</v>
      </c>
      <c r="AJ115" s="48">
        <v>4</v>
      </c>
      <c r="AK115" s="8" t="s">
        <v>18</v>
      </c>
      <c r="AL115" s="9" t="s">
        <v>18</v>
      </c>
      <c r="AM115" s="51">
        <v>4</v>
      </c>
      <c r="AN115" s="48">
        <v>4</v>
      </c>
      <c r="AO115" s="8" t="s">
        <v>18</v>
      </c>
      <c r="AP115" s="9" t="s">
        <v>18</v>
      </c>
      <c r="AQ115" s="60">
        <f t="shared" si="21"/>
        <v>4</v>
      </c>
      <c r="AR115" s="44">
        <f>IF($A105=TRUE,AQ115*$I105,0)</f>
        <v>8</v>
      </c>
      <c r="AS115" s="1" t="s">
        <v>2</v>
      </c>
      <c r="AT115" s="8" t="s">
        <v>18</v>
      </c>
      <c r="AU115" s="9" t="s">
        <v>18</v>
      </c>
      <c r="AV115" s="8" t="s">
        <v>18</v>
      </c>
      <c r="AW115" s="9" t="s">
        <v>18</v>
      </c>
      <c r="AX115" s="8" t="s">
        <v>18</v>
      </c>
      <c r="AY115" s="9" t="s">
        <v>18</v>
      </c>
      <c r="AZ115" s="8" t="s">
        <v>18</v>
      </c>
      <c r="BA115" s="9" t="s">
        <v>18</v>
      </c>
      <c r="BB115" s="60">
        <f t="shared" si="22"/>
        <v>0</v>
      </c>
      <c r="BC115" s="44">
        <f>IF($A105=TRUE,BB115*$I105,0)</f>
        <v>0</v>
      </c>
      <c r="BD115" s="44"/>
      <c r="BE115" s="44"/>
      <c r="BF115" s="44"/>
      <c r="BG115" s="44"/>
      <c r="BH115" s="44"/>
      <c r="BI115" s="44"/>
    </row>
    <row r="116" spans="1:61" x14ac:dyDescent="0.3">
      <c r="A116" s="1" t="s">
        <v>20</v>
      </c>
      <c r="B116" s="8" t="s">
        <v>18</v>
      </c>
      <c r="C116" s="9" t="s">
        <v>18</v>
      </c>
      <c r="D116" s="20">
        <v>2</v>
      </c>
      <c r="E116" s="23">
        <v>2</v>
      </c>
      <c r="F116" s="8" t="s">
        <v>18</v>
      </c>
      <c r="G116" s="9" t="s">
        <v>18</v>
      </c>
      <c r="H116" s="8" t="s">
        <v>18</v>
      </c>
      <c r="I116" s="23">
        <v>2</v>
      </c>
      <c r="J116" s="60">
        <f t="shared" si="0"/>
        <v>2</v>
      </c>
      <c r="K116" s="44">
        <f>IF(A105=TRUE,J116*I105,0)</f>
        <v>4</v>
      </c>
      <c r="L116" s="1" t="s">
        <v>20</v>
      </c>
      <c r="M116" s="8" t="s">
        <v>18</v>
      </c>
      <c r="N116" s="9" t="s">
        <v>18</v>
      </c>
      <c r="O116" s="20">
        <v>2</v>
      </c>
      <c r="P116" s="23">
        <v>2</v>
      </c>
      <c r="Q116" s="8" t="s">
        <v>18</v>
      </c>
      <c r="R116" s="9" t="s">
        <v>18</v>
      </c>
      <c r="S116" s="8" t="s">
        <v>18</v>
      </c>
      <c r="T116" s="23">
        <v>2</v>
      </c>
      <c r="U116" s="60">
        <f t="shared" si="19"/>
        <v>2</v>
      </c>
      <c r="V116" s="44">
        <f>IF($A105=TRUE,U116*$I105,0)</f>
        <v>4</v>
      </c>
      <c r="W116" s="1" t="s">
        <v>20</v>
      </c>
      <c r="X116" s="8" t="s">
        <v>18</v>
      </c>
      <c r="Y116" s="9" t="s">
        <v>18</v>
      </c>
      <c r="Z116" s="20">
        <v>2</v>
      </c>
      <c r="AA116" s="23">
        <v>2</v>
      </c>
      <c r="AB116" s="8" t="s">
        <v>18</v>
      </c>
      <c r="AC116" s="9" t="s">
        <v>18</v>
      </c>
      <c r="AD116" s="8" t="s">
        <v>18</v>
      </c>
      <c r="AE116" s="23">
        <v>2</v>
      </c>
      <c r="AF116" s="60">
        <f t="shared" si="20"/>
        <v>2</v>
      </c>
      <c r="AG116" s="44">
        <f>IF($A105=TRUE,AF116*$I105,0)</f>
        <v>4</v>
      </c>
      <c r="AH116" s="1" t="s">
        <v>20</v>
      </c>
      <c r="AI116" s="8" t="s">
        <v>18</v>
      </c>
      <c r="AJ116" s="9" t="s">
        <v>18</v>
      </c>
      <c r="AK116" s="20">
        <v>2</v>
      </c>
      <c r="AL116" s="23">
        <v>2</v>
      </c>
      <c r="AM116" s="8" t="s">
        <v>18</v>
      </c>
      <c r="AN116" s="9" t="s">
        <v>18</v>
      </c>
      <c r="AO116" s="8" t="s">
        <v>18</v>
      </c>
      <c r="AP116" s="23">
        <v>2</v>
      </c>
      <c r="AQ116" s="60">
        <f t="shared" si="21"/>
        <v>2</v>
      </c>
      <c r="AR116" s="44">
        <f>IF($A105=TRUE,AQ116*$I105,0)</f>
        <v>4</v>
      </c>
      <c r="AS116" s="1" t="s">
        <v>20</v>
      </c>
      <c r="AT116" s="8" t="s">
        <v>18</v>
      </c>
      <c r="AU116" s="9" t="s">
        <v>18</v>
      </c>
      <c r="AV116" s="8" t="s">
        <v>18</v>
      </c>
      <c r="AW116" s="9" t="s">
        <v>18</v>
      </c>
      <c r="AX116" s="8" t="s">
        <v>18</v>
      </c>
      <c r="AY116" s="9" t="s">
        <v>18</v>
      </c>
      <c r="AZ116" s="8" t="s">
        <v>18</v>
      </c>
      <c r="BA116" s="9" t="s">
        <v>18</v>
      </c>
      <c r="BB116" s="60">
        <f t="shared" si="22"/>
        <v>0</v>
      </c>
      <c r="BC116" s="44">
        <f>IF($A105=TRUE,BB116*$I105,0)</f>
        <v>0</v>
      </c>
      <c r="BD116" s="44"/>
      <c r="BE116" s="44"/>
      <c r="BF116" s="44"/>
      <c r="BG116" s="44"/>
      <c r="BH116" s="44"/>
      <c r="BI116" s="44"/>
    </row>
    <row r="117" spans="1:61" x14ac:dyDescent="0.3">
      <c r="A117" s="1" t="s">
        <v>3</v>
      </c>
      <c r="B117" s="8" t="s">
        <v>18</v>
      </c>
      <c r="C117" s="9" t="s">
        <v>18</v>
      </c>
      <c r="D117" s="20">
        <v>2</v>
      </c>
      <c r="E117" s="23">
        <v>2</v>
      </c>
      <c r="F117" s="8" t="s">
        <v>18</v>
      </c>
      <c r="G117" s="9" t="s">
        <v>18</v>
      </c>
      <c r="H117" s="8" t="s">
        <v>18</v>
      </c>
      <c r="I117" s="9" t="s">
        <v>18</v>
      </c>
      <c r="J117" s="60">
        <f t="shared" si="0"/>
        <v>2</v>
      </c>
      <c r="K117" s="44">
        <f>IF(A105=TRUE,J117*I105,0)</f>
        <v>4</v>
      </c>
      <c r="L117" s="1" t="s">
        <v>3</v>
      </c>
      <c r="M117" s="8" t="s">
        <v>18</v>
      </c>
      <c r="N117" s="9" t="s">
        <v>18</v>
      </c>
      <c r="O117" s="20">
        <v>2</v>
      </c>
      <c r="P117" s="23">
        <v>2</v>
      </c>
      <c r="Q117" s="8" t="s">
        <v>18</v>
      </c>
      <c r="R117" s="9" t="s">
        <v>18</v>
      </c>
      <c r="S117" s="8" t="s">
        <v>18</v>
      </c>
      <c r="T117" s="9" t="s">
        <v>18</v>
      </c>
      <c r="U117" s="60">
        <f t="shared" si="19"/>
        <v>2</v>
      </c>
      <c r="V117" s="44">
        <f>IF($A105=TRUE,U117*$I105,0)</f>
        <v>4</v>
      </c>
      <c r="W117" s="1" t="s">
        <v>3</v>
      </c>
      <c r="X117" s="8" t="s">
        <v>18</v>
      </c>
      <c r="Y117" s="9" t="s">
        <v>18</v>
      </c>
      <c r="Z117" s="20">
        <v>2</v>
      </c>
      <c r="AA117" s="23">
        <v>2</v>
      </c>
      <c r="AB117" s="8" t="s">
        <v>18</v>
      </c>
      <c r="AC117" s="9" t="s">
        <v>18</v>
      </c>
      <c r="AD117" s="8" t="s">
        <v>18</v>
      </c>
      <c r="AE117" s="9" t="s">
        <v>18</v>
      </c>
      <c r="AF117" s="60">
        <f t="shared" si="20"/>
        <v>2</v>
      </c>
      <c r="AG117" s="44">
        <f>IF($A105=TRUE,AF117*$I105,0)</f>
        <v>4</v>
      </c>
      <c r="AH117" s="1" t="s">
        <v>3</v>
      </c>
      <c r="AI117" s="8" t="s">
        <v>18</v>
      </c>
      <c r="AJ117" s="9" t="s">
        <v>18</v>
      </c>
      <c r="AK117" s="20">
        <v>2</v>
      </c>
      <c r="AL117" s="23">
        <v>2</v>
      </c>
      <c r="AM117" s="8" t="s">
        <v>18</v>
      </c>
      <c r="AN117" s="9" t="s">
        <v>18</v>
      </c>
      <c r="AO117" s="8" t="s">
        <v>18</v>
      </c>
      <c r="AP117" s="9" t="s">
        <v>18</v>
      </c>
      <c r="AQ117" s="60">
        <f t="shared" si="21"/>
        <v>2</v>
      </c>
      <c r="AR117" s="44">
        <f>IF($A105=TRUE,AQ117*$I105,0)</f>
        <v>4</v>
      </c>
      <c r="AS117" s="1" t="s">
        <v>3</v>
      </c>
      <c r="AT117" s="8" t="s">
        <v>18</v>
      </c>
      <c r="AU117" s="9" t="s">
        <v>18</v>
      </c>
      <c r="AV117" s="8" t="s">
        <v>18</v>
      </c>
      <c r="AW117" s="9" t="s">
        <v>18</v>
      </c>
      <c r="AX117" s="8" t="s">
        <v>18</v>
      </c>
      <c r="AY117" s="9" t="s">
        <v>18</v>
      </c>
      <c r="AZ117" s="27">
        <v>5</v>
      </c>
      <c r="BA117" s="41">
        <v>2</v>
      </c>
      <c r="BB117" s="60">
        <f t="shared" si="22"/>
        <v>5</v>
      </c>
      <c r="BC117" s="44">
        <f>IF($A105=TRUE,BB117*$I105,0)</f>
        <v>10</v>
      </c>
      <c r="BD117" s="44"/>
      <c r="BE117" s="44"/>
      <c r="BF117" s="44"/>
      <c r="BG117" s="44"/>
      <c r="BH117" s="44"/>
      <c r="BI117" s="44"/>
    </row>
    <row r="118" spans="1:61" x14ac:dyDescent="0.3">
      <c r="A118" s="13" t="s">
        <v>12</v>
      </c>
      <c r="B118" s="14" t="s">
        <v>18</v>
      </c>
      <c r="C118" s="15" t="s">
        <v>18</v>
      </c>
      <c r="D118" s="40">
        <v>2</v>
      </c>
      <c r="E118" s="41">
        <v>2</v>
      </c>
      <c r="F118" s="14" t="s">
        <v>18</v>
      </c>
      <c r="G118" s="15" t="s">
        <v>18</v>
      </c>
      <c r="H118" s="14" t="s">
        <v>18</v>
      </c>
      <c r="I118" s="15" t="s">
        <v>18</v>
      </c>
      <c r="J118" s="60">
        <f t="shared" si="0"/>
        <v>2</v>
      </c>
      <c r="K118" s="44">
        <f>IF(A105=TRUE,J118*I105,0)</f>
        <v>4</v>
      </c>
      <c r="L118" s="13" t="s">
        <v>12</v>
      </c>
      <c r="M118" s="14" t="s">
        <v>18</v>
      </c>
      <c r="N118" s="15" t="s">
        <v>18</v>
      </c>
      <c r="O118" s="40">
        <v>2</v>
      </c>
      <c r="P118" s="41">
        <v>2</v>
      </c>
      <c r="Q118" s="14" t="s">
        <v>18</v>
      </c>
      <c r="R118" s="15" t="s">
        <v>18</v>
      </c>
      <c r="S118" s="14" t="s">
        <v>18</v>
      </c>
      <c r="T118" s="15" t="s">
        <v>18</v>
      </c>
      <c r="U118" s="60">
        <f t="shared" si="19"/>
        <v>2</v>
      </c>
      <c r="V118" s="44">
        <f>IF($A105=TRUE,U118*$I105,0)</f>
        <v>4</v>
      </c>
      <c r="W118" s="13" t="s">
        <v>12</v>
      </c>
      <c r="X118" s="14" t="s">
        <v>18</v>
      </c>
      <c r="Y118" s="15" t="s">
        <v>18</v>
      </c>
      <c r="Z118" s="40">
        <v>2</v>
      </c>
      <c r="AA118" s="41">
        <v>2</v>
      </c>
      <c r="AB118" s="14" t="s">
        <v>18</v>
      </c>
      <c r="AC118" s="15" t="s">
        <v>18</v>
      </c>
      <c r="AD118" s="14" t="s">
        <v>18</v>
      </c>
      <c r="AE118" s="15" t="s">
        <v>18</v>
      </c>
      <c r="AF118" s="60">
        <f t="shared" si="20"/>
        <v>2</v>
      </c>
      <c r="AG118" s="44">
        <f>IF($A105=TRUE,AF118*$I105,0)</f>
        <v>4</v>
      </c>
      <c r="AH118" s="13" t="s">
        <v>12</v>
      </c>
      <c r="AI118" s="14" t="s">
        <v>18</v>
      </c>
      <c r="AJ118" s="15" t="s">
        <v>18</v>
      </c>
      <c r="AK118" s="40">
        <v>2</v>
      </c>
      <c r="AL118" s="41">
        <v>2</v>
      </c>
      <c r="AM118" s="14" t="s">
        <v>18</v>
      </c>
      <c r="AN118" s="15" t="s">
        <v>18</v>
      </c>
      <c r="AO118" s="14" t="s">
        <v>18</v>
      </c>
      <c r="AP118" s="15" t="s">
        <v>18</v>
      </c>
      <c r="AQ118" s="60">
        <f t="shared" si="21"/>
        <v>2</v>
      </c>
      <c r="AR118" s="44">
        <f>IF($A105=TRUE,AQ118*$I105,0)</f>
        <v>4</v>
      </c>
      <c r="AS118" s="13" t="s">
        <v>12</v>
      </c>
      <c r="AT118" s="14" t="s">
        <v>18</v>
      </c>
      <c r="AU118" s="15" t="s">
        <v>18</v>
      </c>
      <c r="AV118" s="53">
        <v>5</v>
      </c>
      <c r="AW118" s="53">
        <v>5</v>
      </c>
      <c r="AX118" s="14" t="s">
        <v>18</v>
      </c>
      <c r="AY118" s="15" t="s">
        <v>18</v>
      </c>
      <c r="AZ118" s="40">
        <v>2</v>
      </c>
      <c r="BA118" s="41">
        <v>2</v>
      </c>
      <c r="BB118" s="60">
        <f t="shared" si="22"/>
        <v>5</v>
      </c>
      <c r="BC118" s="44">
        <f>IF($A105=TRUE,BB118*$I105,0)</f>
        <v>10</v>
      </c>
      <c r="BD118" s="44"/>
      <c r="BE118" s="44"/>
      <c r="BF118" s="44"/>
      <c r="BG118" s="44"/>
      <c r="BH118" s="44"/>
      <c r="BI118" s="44"/>
    </row>
    <row r="119" spans="1:61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60"/>
    </row>
    <row r="120" spans="1:61" x14ac:dyDescent="0.3">
      <c r="A120" s="4" t="s">
        <v>19</v>
      </c>
      <c r="B120" s="2"/>
      <c r="C120" s="2"/>
      <c r="D120" s="2"/>
      <c r="E120" s="2"/>
      <c r="F120" s="2"/>
      <c r="G120" s="2"/>
      <c r="H120" s="2"/>
      <c r="I120" s="2" t="s">
        <v>26</v>
      </c>
      <c r="J120" s="60"/>
    </row>
    <row r="121" spans="1:61" x14ac:dyDescent="0.3">
      <c r="A121" s="2" t="b">
        <v>1</v>
      </c>
      <c r="B121" s="2"/>
      <c r="C121" s="2"/>
      <c r="D121" s="2"/>
      <c r="E121" s="2"/>
      <c r="F121" s="2"/>
      <c r="G121" s="2"/>
      <c r="H121" s="2"/>
      <c r="I121" s="2">
        <f>F15</f>
        <v>5</v>
      </c>
      <c r="J121" s="60"/>
    </row>
    <row r="122" spans="1:61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60"/>
    </row>
    <row r="123" spans="1:61" x14ac:dyDescent="0.3">
      <c r="A123" s="10" t="s">
        <v>14</v>
      </c>
      <c r="B123" s="85" t="s">
        <v>7</v>
      </c>
      <c r="C123" s="86"/>
      <c r="D123" s="85" t="s">
        <v>10</v>
      </c>
      <c r="E123" s="86"/>
      <c r="F123" s="87" t="s">
        <v>11</v>
      </c>
      <c r="G123" s="88"/>
      <c r="H123" s="85" t="s">
        <v>13</v>
      </c>
      <c r="I123" s="86"/>
      <c r="J123" s="60"/>
      <c r="K123" s="42"/>
      <c r="L123" s="10" t="s">
        <v>14</v>
      </c>
      <c r="M123" s="85" t="s">
        <v>7</v>
      </c>
      <c r="N123" s="86"/>
      <c r="O123" s="85" t="s">
        <v>10</v>
      </c>
      <c r="P123" s="86"/>
      <c r="Q123" s="87" t="s">
        <v>11</v>
      </c>
      <c r="R123" s="88"/>
      <c r="S123" s="85" t="s">
        <v>13</v>
      </c>
      <c r="T123" s="86"/>
      <c r="U123" s="58"/>
      <c r="V123" s="42"/>
      <c r="W123" s="10" t="s">
        <v>14</v>
      </c>
      <c r="X123" s="85" t="s">
        <v>7</v>
      </c>
      <c r="Y123" s="86"/>
      <c r="Z123" s="85" t="s">
        <v>10</v>
      </c>
      <c r="AA123" s="86"/>
      <c r="AB123" s="87" t="s">
        <v>11</v>
      </c>
      <c r="AC123" s="88"/>
      <c r="AD123" s="85" t="s">
        <v>13</v>
      </c>
      <c r="AE123" s="86"/>
      <c r="AF123" s="58"/>
      <c r="AG123" s="42"/>
      <c r="AH123" s="10" t="s">
        <v>14</v>
      </c>
      <c r="AI123" s="85" t="s">
        <v>7</v>
      </c>
      <c r="AJ123" s="86"/>
      <c r="AK123" s="85" t="s">
        <v>10</v>
      </c>
      <c r="AL123" s="86"/>
      <c r="AM123" s="87" t="s">
        <v>11</v>
      </c>
      <c r="AN123" s="88"/>
      <c r="AO123" s="85" t="s">
        <v>13</v>
      </c>
      <c r="AP123" s="86"/>
      <c r="AQ123" s="58"/>
      <c r="AR123" s="42"/>
      <c r="AS123" s="10" t="s">
        <v>14</v>
      </c>
      <c r="AT123" s="85" t="s">
        <v>7</v>
      </c>
      <c r="AU123" s="86"/>
      <c r="AV123" s="85" t="s">
        <v>10</v>
      </c>
      <c r="AW123" s="86"/>
      <c r="AX123" s="87" t="s">
        <v>11</v>
      </c>
      <c r="AY123" s="86"/>
      <c r="AZ123" s="85" t="s">
        <v>13</v>
      </c>
      <c r="BA123" s="86"/>
      <c r="BB123" s="58"/>
      <c r="BC123" s="42"/>
      <c r="BD123" s="42"/>
      <c r="BE123" s="42"/>
      <c r="BF123" s="42"/>
      <c r="BG123" s="42"/>
      <c r="BH123" s="42"/>
      <c r="BI123" s="42"/>
    </row>
    <row r="124" spans="1:61" ht="15" thickBot="1" x14ac:dyDescent="0.35">
      <c r="A124" s="11" t="s">
        <v>0</v>
      </c>
      <c r="B124" s="5" t="s">
        <v>8</v>
      </c>
      <c r="C124" s="6" t="s">
        <v>9</v>
      </c>
      <c r="D124" s="7" t="s">
        <v>8</v>
      </c>
      <c r="E124" s="6" t="s">
        <v>9</v>
      </c>
      <c r="F124" s="7" t="s">
        <v>8</v>
      </c>
      <c r="G124" s="6" t="s">
        <v>9</v>
      </c>
      <c r="H124" s="7" t="s">
        <v>8</v>
      </c>
      <c r="I124" s="6" t="s">
        <v>9</v>
      </c>
      <c r="J124" s="60"/>
      <c r="K124" s="42"/>
      <c r="L124" s="11" t="s">
        <v>0</v>
      </c>
      <c r="M124" s="5" t="s">
        <v>8</v>
      </c>
      <c r="N124" s="6" t="s">
        <v>9</v>
      </c>
      <c r="O124" s="7" t="s">
        <v>8</v>
      </c>
      <c r="P124" s="6" t="s">
        <v>9</v>
      </c>
      <c r="Q124" s="7" t="s">
        <v>8</v>
      </c>
      <c r="R124" s="6" t="s">
        <v>9</v>
      </c>
      <c r="S124" s="7" t="s">
        <v>8</v>
      </c>
      <c r="T124" s="6" t="s">
        <v>9</v>
      </c>
      <c r="U124" s="58"/>
      <c r="V124" s="42"/>
      <c r="W124" s="11" t="s">
        <v>0</v>
      </c>
      <c r="X124" s="5" t="s">
        <v>8</v>
      </c>
      <c r="Y124" s="6" t="s">
        <v>9</v>
      </c>
      <c r="Z124" s="7" t="s">
        <v>8</v>
      </c>
      <c r="AA124" s="6" t="s">
        <v>9</v>
      </c>
      <c r="AB124" s="7" t="s">
        <v>8</v>
      </c>
      <c r="AC124" s="6" t="s">
        <v>9</v>
      </c>
      <c r="AD124" s="7" t="s">
        <v>8</v>
      </c>
      <c r="AE124" s="6" t="s">
        <v>9</v>
      </c>
      <c r="AF124" s="58"/>
      <c r="AG124" s="42"/>
      <c r="AH124" s="11" t="s">
        <v>0</v>
      </c>
      <c r="AI124" s="5" t="s">
        <v>8</v>
      </c>
      <c r="AJ124" s="6" t="s">
        <v>9</v>
      </c>
      <c r="AK124" s="7" t="s">
        <v>8</v>
      </c>
      <c r="AL124" s="6" t="s">
        <v>9</v>
      </c>
      <c r="AM124" s="7" t="s">
        <v>8</v>
      </c>
      <c r="AN124" s="6" t="s">
        <v>9</v>
      </c>
      <c r="AO124" s="7" t="s">
        <v>8</v>
      </c>
      <c r="AP124" s="6" t="s">
        <v>9</v>
      </c>
      <c r="AQ124" s="58"/>
      <c r="AR124" s="42"/>
      <c r="AS124" s="11" t="s">
        <v>0</v>
      </c>
      <c r="AT124" s="5" t="s">
        <v>8</v>
      </c>
      <c r="AU124" s="6" t="s">
        <v>9</v>
      </c>
      <c r="AV124" s="7" t="s">
        <v>8</v>
      </c>
      <c r="AW124" s="6" t="s">
        <v>9</v>
      </c>
      <c r="AX124" s="7" t="s">
        <v>8</v>
      </c>
      <c r="AY124" s="6" t="s">
        <v>9</v>
      </c>
      <c r="AZ124" s="7" t="s">
        <v>8</v>
      </c>
      <c r="BA124" s="6" t="s">
        <v>9</v>
      </c>
      <c r="BB124" s="58"/>
      <c r="BC124" s="42"/>
      <c r="BD124" s="42"/>
      <c r="BE124" s="42"/>
      <c r="BF124" s="42"/>
      <c r="BG124" s="42"/>
      <c r="BH124" s="42"/>
      <c r="BI124" s="42"/>
    </row>
    <row r="125" spans="1:61" ht="15" thickTop="1" x14ac:dyDescent="0.3">
      <c r="A125" s="1" t="s">
        <v>4</v>
      </c>
      <c r="B125" s="20">
        <v>2</v>
      </c>
      <c r="C125" s="23">
        <v>2</v>
      </c>
      <c r="D125" s="18">
        <v>3</v>
      </c>
      <c r="E125" s="19">
        <v>3</v>
      </c>
      <c r="F125" s="18">
        <v>3</v>
      </c>
      <c r="G125" s="19">
        <v>3</v>
      </c>
      <c r="H125" s="8" t="s">
        <v>18</v>
      </c>
      <c r="I125" s="9" t="s">
        <v>18</v>
      </c>
      <c r="J125" s="60">
        <f t="shared" si="0"/>
        <v>3</v>
      </c>
      <c r="K125" s="44">
        <f>IF(A121=TRUE,J125*I121,0)</f>
        <v>15</v>
      </c>
      <c r="L125" s="1" t="s">
        <v>4</v>
      </c>
      <c r="M125" s="20">
        <v>2</v>
      </c>
      <c r="N125" s="23">
        <v>2</v>
      </c>
      <c r="O125" s="18">
        <v>3</v>
      </c>
      <c r="P125" s="19">
        <v>3</v>
      </c>
      <c r="Q125" s="18">
        <v>3</v>
      </c>
      <c r="R125" s="19">
        <v>3</v>
      </c>
      <c r="S125" s="8" t="s">
        <v>18</v>
      </c>
      <c r="T125" s="9" t="s">
        <v>18</v>
      </c>
      <c r="U125" s="60">
        <f>MAX(M125:T125)</f>
        <v>3</v>
      </c>
      <c r="V125" s="44">
        <f>IF($A121=TRUE,U125*$I121,0)</f>
        <v>15</v>
      </c>
      <c r="W125" s="1" t="s">
        <v>4</v>
      </c>
      <c r="X125" s="20">
        <v>2</v>
      </c>
      <c r="Y125" s="23">
        <v>2</v>
      </c>
      <c r="Z125" s="18">
        <v>3</v>
      </c>
      <c r="AA125" s="19">
        <v>3</v>
      </c>
      <c r="AB125" s="18">
        <v>3</v>
      </c>
      <c r="AC125" s="19">
        <v>3</v>
      </c>
      <c r="AD125" s="8" t="s">
        <v>18</v>
      </c>
      <c r="AE125" s="9" t="s">
        <v>18</v>
      </c>
      <c r="AF125" s="60">
        <f>MAX(X125:AE125)</f>
        <v>3</v>
      </c>
      <c r="AG125" s="44">
        <f>IF($A121=TRUE,AF125*$I121,0)</f>
        <v>15</v>
      </c>
      <c r="AH125" s="1" t="s">
        <v>4</v>
      </c>
      <c r="AI125" s="20">
        <v>2</v>
      </c>
      <c r="AJ125" s="23">
        <v>2</v>
      </c>
      <c r="AK125" s="18">
        <v>3</v>
      </c>
      <c r="AL125" s="19">
        <v>3</v>
      </c>
      <c r="AM125" s="18">
        <v>3</v>
      </c>
      <c r="AN125" s="19">
        <v>3</v>
      </c>
      <c r="AO125" s="8" t="s">
        <v>18</v>
      </c>
      <c r="AP125" s="9" t="s">
        <v>18</v>
      </c>
      <c r="AQ125" s="60">
        <f>MAX(AI125:AP125)</f>
        <v>3</v>
      </c>
      <c r="AR125" s="44">
        <f>IF($A121=TRUE,AQ125*$I121,0)</f>
        <v>15</v>
      </c>
      <c r="AS125" s="1" t="s">
        <v>4</v>
      </c>
      <c r="AT125" s="8" t="s">
        <v>18</v>
      </c>
      <c r="AU125" s="9" t="s">
        <v>18</v>
      </c>
      <c r="AV125" s="8" t="s">
        <v>18</v>
      </c>
      <c r="AW125" s="9" t="s">
        <v>18</v>
      </c>
      <c r="AX125" s="8" t="s">
        <v>18</v>
      </c>
      <c r="AY125" s="9" t="s">
        <v>18</v>
      </c>
      <c r="AZ125" s="8" t="s">
        <v>18</v>
      </c>
      <c r="BA125" s="9" t="s">
        <v>18</v>
      </c>
      <c r="BB125" s="60">
        <f>MAX(AT125:BA125)</f>
        <v>0</v>
      </c>
      <c r="BC125" s="44">
        <f>IF($A121=TRUE,BB125*$I121,0)</f>
        <v>0</v>
      </c>
      <c r="BD125" s="44"/>
      <c r="BE125" s="44"/>
      <c r="BF125" s="44"/>
      <c r="BG125" s="44"/>
      <c r="BH125" s="44"/>
      <c r="BI125" s="44"/>
    </row>
    <row r="126" spans="1:61" x14ac:dyDescent="0.3">
      <c r="A126" s="1" t="s">
        <v>5</v>
      </c>
      <c r="B126" s="54">
        <v>1</v>
      </c>
      <c r="C126" s="22">
        <v>1</v>
      </c>
      <c r="D126" s="8" t="s">
        <v>18</v>
      </c>
      <c r="E126" s="9" t="s">
        <v>18</v>
      </c>
      <c r="F126" s="54">
        <v>1</v>
      </c>
      <c r="G126" s="22">
        <v>1</v>
      </c>
      <c r="H126" s="8" t="s">
        <v>18</v>
      </c>
      <c r="I126" s="9" t="s">
        <v>18</v>
      </c>
      <c r="J126" s="60">
        <f t="shared" ref="J126:J189" si="23">MAX(B126:I126)</f>
        <v>1</v>
      </c>
      <c r="K126" s="44">
        <f>IF(A121=TRUE,J126*I121,0)</f>
        <v>5</v>
      </c>
      <c r="L126" s="1" t="s">
        <v>5</v>
      </c>
      <c r="M126" s="54">
        <v>1</v>
      </c>
      <c r="N126" s="22">
        <v>1</v>
      </c>
      <c r="O126" s="8" t="s">
        <v>18</v>
      </c>
      <c r="P126" s="9" t="s">
        <v>18</v>
      </c>
      <c r="Q126" s="54">
        <v>1</v>
      </c>
      <c r="R126" s="22">
        <v>1</v>
      </c>
      <c r="S126" s="8" t="s">
        <v>18</v>
      </c>
      <c r="T126" s="9" t="s">
        <v>18</v>
      </c>
      <c r="U126" s="60">
        <f t="shared" ref="U126:U134" si="24">MAX(M126:T126)</f>
        <v>1</v>
      </c>
      <c r="V126" s="44">
        <f>IF($A121=TRUE,U126*$I121,0)</f>
        <v>5</v>
      </c>
      <c r="W126" s="1" t="s">
        <v>5</v>
      </c>
      <c r="X126" s="54">
        <v>1</v>
      </c>
      <c r="Y126" s="22">
        <v>1</v>
      </c>
      <c r="Z126" s="8" t="s">
        <v>18</v>
      </c>
      <c r="AA126" s="9" t="s">
        <v>18</v>
      </c>
      <c r="AB126" s="54">
        <v>1</v>
      </c>
      <c r="AC126" s="22">
        <v>1</v>
      </c>
      <c r="AD126" s="8" t="s">
        <v>18</v>
      </c>
      <c r="AE126" s="9" t="s">
        <v>18</v>
      </c>
      <c r="AF126" s="60">
        <f t="shared" ref="AF126:AF134" si="25">MAX(X126:AE126)</f>
        <v>1</v>
      </c>
      <c r="AG126" s="44">
        <f>IF($A121=TRUE,AF126*$I121,0)</f>
        <v>5</v>
      </c>
      <c r="AH126" s="1" t="s">
        <v>5</v>
      </c>
      <c r="AI126" s="54">
        <v>1</v>
      </c>
      <c r="AJ126" s="22">
        <v>1</v>
      </c>
      <c r="AK126" s="8" t="s">
        <v>18</v>
      </c>
      <c r="AL126" s="9" t="s">
        <v>18</v>
      </c>
      <c r="AM126" s="54">
        <v>1</v>
      </c>
      <c r="AN126" s="22">
        <v>1</v>
      </c>
      <c r="AO126" s="8" t="s">
        <v>18</v>
      </c>
      <c r="AP126" s="9" t="s">
        <v>18</v>
      </c>
      <c r="AQ126" s="60">
        <f t="shared" ref="AQ126:AQ134" si="26">MAX(AI126:AP126)</f>
        <v>1</v>
      </c>
      <c r="AR126" s="44">
        <f>IF($A121=TRUE,AQ126*$I121,0)</f>
        <v>5</v>
      </c>
      <c r="AS126" s="1" t="s">
        <v>5</v>
      </c>
      <c r="AT126" s="8" t="s">
        <v>18</v>
      </c>
      <c r="AU126" s="9" t="s">
        <v>18</v>
      </c>
      <c r="AV126" s="8" t="s">
        <v>18</v>
      </c>
      <c r="AW126" s="9" t="s">
        <v>18</v>
      </c>
      <c r="AX126" s="8" t="s">
        <v>18</v>
      </c>
      <c r="AY126" s="9" t="s">
        <v>18</v>
      </c>
      <c r="AZ126" s="8" t="s">
        <v>18</v>
      </c>
      <c r="BA126" s="9" t="s">
        <v>18</v>
      </c>
      <c r="BB126" s="60">
        <f t="shared" ref="BB126:BB134" si="27">MAX(AT126:BA126)</f>
        <v>0</v>
      </c>
      <c r="BC126" s="44">
        <f>IF($A121=TRUE,BB126*$I121,0)</f>
        <v>0</v>
      </c>
      <c r="BD126" s="44"/>
      <c r="BE126" s="44"/>
      <c r="BF126" s="44"/>
      <c r="BG126" s="44"/>
      <c r="BH126" s="44"/>
      <c r="BI126" s="44"/>
    </row>
    <row r="127" spans="1:61" x14ac:dyDescent="0.3">
      <c r="A127" s="1" t="s">
        <v>6</v>
      </c>
      <c r="B127" s="54">
        <v>1</v>
      </c>
      <c r="C127" s="22">
        <v>1</v>
      </c>
      <c r="D127" s="8" t="s">
        <v>18</v>
      </c>
      <c r="E127" s="9" t="s">
        <v>18</v>
      </c>
      <c r="F127" s="54">
        <v>1</v>
      </c>
      <c r="G127" s="22">
        <v>1</v>
      </c>
      <c r="H127" s="8" t="s">
        <v>18</v>
      </c>
      <c r="I127" s="9" t="s">
        <v>18</v>
      </c>
      <c r="J127" s="60">
        <f t="shared" si="23"/>
        <v>1</v>
      </c>
      <c r="K127" s="44">
        <f>IF(A121=TRUE,J127*I121,0)</f>
        <v>5</v>
      </c>
      <c r="L127" s="1" t="s">
        <v>6</v>
      </c>
      <c r="M127" s="54">
        <v>1</v>
      </c>
      <c r="N127" s="22">
        <v>1</v>
      </c>
      <c r="O127" s="8" t="s">
        <v>18</v>
      </c>
      <c r="P127" s="9" t="s">
        <v>18</v>
      </c>
      <c r="Q127" s="54">
        <v>1</v>
      </c>
      <c r="R127" s="22">
        <v>1</v>
      </c>
      <c r="S127" s="8" t="s">
        <v>18</v>
      </c>
      <c r="T127" s="9" t="s">
        <v>18</v>
      </c>
      <c r="U127" s="60">
        <f t="shared" si="24"/>
        <v>1</v>
      </c>
      <c r="V127" s="44">
        <f>IF($A121=TRUE,U127*$I121,0)</f>
        <v>5</v>
      </c>
      <c r="W127" s="1" t="s">
        <v>6</v>
      </c>
      <c r="X127" s="54">
        <v>1</v>
      </c>
      <c r="Y127" s="22">
        <v>1</v>
      </c>
      <c r="Z127" s="8" t="s">
        <v>18</v>
      </c>
      <c r="AA127" s="9" t="s">
        <v>18</v>
      </c>
      <c r="AB127" s="54">
        <v>1</v>
      </c>
      <c r="AC127" s="22">
        <v>1</v>
      </c>
      <c r="AD127" s="8" t="s">
        <v>18</v>
      </c>
      <c r="AE127" s="9" t="s">
        <v>18</v>
      </c>
      <c r="AF127" s="60">
        <f t="shared" si="25"/>
        <v>1</v>
      </c>
      <c r="AG127" s="44">
        <f>IF($A121=TRUE,AF127*$I121,0)</f>
        <v>5</v>
      </c>
      <c r="AH127" s="1" t="s">
        <v>6</v>
      </c>
      <c r="AI127" s="54">
        <v>1</v>
      </c>
      <c r="AJ127" s="22">
        <v>1</v>
      </c>
      <c r="AK127" s="8" t="s">
        <v>18</v>
      </c>
      <c r="AL127" s="9" t="s">
        <v>18</v>
      </c>
      <c r="AM127" s="54">
        <v>1</v>
      </c>
      <c r="AN127" s="22">
        <v>1</v>
      </c>
      <c r="AO127" s="8" t="s">
        <v>18</v>
      </c>
      <c r="AP127" s="9" t="s">
        <v>18</v>
      </c>
      <c r="AQ127" s="60">
        <f t="shared" si="26"/>
        <v>1</v>
      </c>
      <c r="AR127" s="44">
        <f>IF($A121=TRUE,AQ127*$I121,0)</f>
        <v>5</v>
      </c>
      <c r="AS127" s="1" t="s">
        <v>6</v>
      </c>
      <c r="AT127" s="8" t="s">
        <v>18</v>
      </c>
      <c r="AU127" s="9" t="s">
        <v>18</v>
      </c>
      <c r="AV127" s="8" t="s">
        <v>18</v>
      </c>
      <c r="AW127" s="9" t="s">
        <v>18</v>
      </c>
      <c r="AX127" s="8" t="s">
        <v>18</v>
      </c>
      <c r="AY127" s="9" t="s">
        <v>18</v>
      </c>
      <c r="AZ127" s="8" t="s">
        <v>18</v>
      </c>
      <c r="BA127" s="9" t="s">
        <v>18</v>
      </c>
      <c r="BB127" s="60">
        <f t="shared" si="27"/>
        <v>0</v>
      </c>
      <c r="BC127" s="44">
        <f>IF($A121=TRUE,BB127*$I121,0)</f>
        <v>0</v>
      </c>
      <c r="BD127" s="44"/>
      <c r="BE127" s="44"/>
      <c r="BF127" s="44"/>
      <c r="BG127" s="44"/>
      <c r="BH127" s="44"/>
      <c r="BI127" s="44"/>
    </row>
    <row r="128" spans="1:61" x14ac:dyDescent="0.3">
      <c r="A128" s="1" t="s">
        <v>1</v>
      </c>
      <c r="B128" s="8" t="s">
        <v>18</v>
      </c>
      <c r="C128" s="9" t="s">
        <v>18</v>
      </c>
      <c r="D128" s="8" t="s">
        <v>18</v>
      </c>
      <c r="E128" s="9" t="s">
        <v>18</v>
      </c>
      <c r="F128" s="8" t="s">
        <v>18</v>
      </c>
      <c r="G128" s="9" t="s">
        <v>18</v>
      </c>
      <c r="H128" s="21">
        <v>5</v>
      </c>
      <c r="I128" s="26">
        <v>5</v>
      </c>
      <c r="J128" s="60">
        <f t="shared" si="23"/>
        <v>5</v>
      </c>
      <c r="K128" s="44">
        <f>IF(A121=TRUE,J128*I121,0)</f>
        <v>25</v>
      </c>
      <c r="L128" s="1" t="s">
        <v>1</v>
      </c>
      <c r="M128" s="8" t="s">
        <v>18</v>
      </c>
      <c r="N128" s="9" t="s">
        <v>18</v>
      </c>
      <c r="O128" s="8" t="s">
        <v>18</v>
      </c>
      <c r="P128" s="9" t="s">
        <v>18</v>
      </c>
      <c r="Q128" s="8" t="s">
        <v>18</v>
      </c>
      <c r="R128" s="9" t="s">
        <v>18</v>
      </c>
      <c r="S128" s="21">
        <v>5</v>
      </c>
      <c r="T128" s="26">
        <v>5</v>
      </c>
      <c r="U128" s="60">
        <f t="shared" si="24"/>
        <v>5</v>
      </c>
      <c r="V128" s="44">
        <f>IF($A121=TRUE,U128*$I121,0)</f>
        <v>25</v>
      </c>
      <c r="W128" s="1" t="s">
        <v>1</v>
      </c>
      <c r="X128" s="8" t="s">
        <v>18</v>
      </c>
      <c r="Y128" s="9" t="s">
        <v>18</v>
      </c>
      <c r="Z128" s="8" t="s">
        <v>18</v>
      </c>
      <c r="AA128" s="9" t="s">
        <v>18</v>
      </c>
      <c r="AB128" s="8" t="s">
        <v>18</v>
      </c>
      <c r="AC128" s="9" t="s">
        <v>18</v>
      </c>
      <c r="AD128" s="21">
        <v>5</v>
      </c>
      <c r="AE128" s="26">
        <v>5</v>
      </c>
      <c r="AF128" s="60">
        <f t="shared" si="25"/>
        <v>5</v>
      </c>
      <c r="AG128" s="44">
        <f>IF($A121=TRUE,AF128*$I121,0)</f>
        <v>25</v>
      </c>
      <c r="AH128" s="1" t="s">
        <v>1</v>
      </c>
      <c r="AI128" s="8" t="s">
        <v>18</v>
      </c>
      <c r="AJ128" s="9" t="s">
        <v>18</v>
      </c>
      <c r="AK128" s="8" t="s">
        <v>18</v>
      </c>
      <c r="AL128" s="9" t="s">
        <v>18</v>
      </c>
      <c r="AM128" s="8" t="s">
        <v>18</v>
      </c>
      <c r="AN128" s="9" t="s">
        <v>18</v>
      </c>
      <c r="AO128" s="21">
        <v>5</v>
      </c>
      <c r="AP128" s="26">
        <v>5</v>
      </c>
      <c r="AQ128" s="60">
        <f t="shared" si="26"/>
        <v>5</v>
      </c>
      <c r="AR128" s="44">
        <f>IF($A121=TRUE,AQ128*$I121,0)</f>
        <v>25</v>
      </c>
      <c r="AS128" s="1" t="s">
        <v>1</v>
      </c>
      <c r="AT128" s="8" t="s">
        <v>18</v>
      </c>
      <c r="AU128" s="9" t="s">
        <v>18</v>
      </c>
      <c r="AV128" s="8" t="s">
        <v>18</v>
      </c>
      <c r="AW128" s="9" t="s">
        <v>18</v>
      </c>
      <c r="AX128" s="8" t="s">
        <v>18</v>
      </c>
      <c r="AY128" s="9" t="s">
        <v>18</v>
      </c>
      <c r="AZ128" s="8" t="s">
        <v>18</v>
      </c>
      <c r="BA128" s="9" t="s">
        <v>18</v>
      </c>
      <c r="BB128" s="60">
        <f t="shared" si="27"/>
        <v>0</v>
      </c>
      <c r="BC128" s="44">
        <f>IF($A121=TRUE,BB128*$I121,0)</f>
        <v>0</v>
      </c>
      <c r="BD128" s="44"/>
      <c r="BE128" s="44"/>
      <c r="BF128" s="44"/>
      <c r="BG128" s="44"/>
      <c r="BH128" s="44"/>
      <c r="BI128" s="44"/>
    </row>
    <row r="129" spans="1:61" x14ac:dyDescent="0.3">
      <c r="A129" s="1" t="s">
        <v>16</v>
      </c>
      <c r="B129" s="8" t="s">
        <v>18</v>
      </c>
      <c r="C129" s="9" t="s">
        <v>18</v>
      </c>
      <c r="D129" s="8" t="s">
        <v>18</v>
      </c>
      <c r="E129" s="9" t="s">
        <v>18</v>
      </c>
      <c r="F129" s="27">
        <v>5</v>
      </c>
      <c r="G129" s="26">
        <v>5</v>
      </c>
      <c r="H129" s="8" t="s">
        <v>18</v>
      </c>
      <c r="I129" s="26">
        <v>5</v>
      </c>
      <c r="J129" s="60">
        <f t="shared" si="23"/>
        <v>5</v>
      </c>
      <c r="K129" s="44">
        <f>IF(A121=TRUE,J129*I121,0)</f>
        <v>25</v>
      </c>
      <c r="L129" s="1" t="s">
        <v>16</v>
      </c>
      <c r="M129" s="8" t="s">
        <v>18</v>
      </c>
      <c r="N129" s="9" t="s">
        <v>18</v>
      </c>
      <c r="O129" s="8" t="s">
        <v>18</v>
      </c>
      <c r="P129" s="9" t="s">
        <v>18</v>
      </c>
      <c r="Q129" s="27">
        <v>5</v>
      </c>
      <c r="R129" s="26">
        <v>5</v>
      </c>
      <c r="S129" s="8" t="s">
        <v>18</v>
      </c>
      <c r="T129" s="26">
        <v>5</v>
      </c>
      <c r="U129" s="60">
        <f t="shared" si="24"/>
        <v>5</v>
      </c>
      <c r="V129" s="44">
        <f>IF($A121=TRUE,U129*$I121,0)</f>
        <v>25</v>
      </c>
      <c r="W129" s="1" t="s">
        <v>16</v>
      </c>
      <c r="X129" s="8" t="s">
        <v>18</v>
      </c>
      <c r="Y129" s="9" t="s">
        <v>18</v>
      </c>
      <c r="Z129" s="8" t="s">
        <v>18</v>
      </c>
      <c r="AA129" s="9" t="s">
        <v>18</v>
      </c>
      <c r="AB129" s="27">
        <v>5</v>
      </c>
      <c r="AC129" s="26">
        <v>5</v>
      </c>
      <c r="AD129" s="8" t="s">
        <v>18</v>
      </c>
      <c r="AE129" s="26">
        <v>5</v>
      </c>
      <c r="AF129" s="60">
        <f t="shared" si="25"/>
        <v>5</v>
      </c>
      <c r="AG129" s="44">
        <f>IF($A121=TRUE,AF129*$I121,0)</f>
        <v>25</v>
      </c>
      <c r="AH129" s="1" t="s">
        <v>16</v>
      </c>
      <c r="AI129" s="8" t="s">
        <v>18</v>
      </c>
      <c r="AJ129" s="9" t="s">
        <v>18</v>
      </c>
      <c r="AK129" s="8" t="s">
        <v>18</v>
      </c>
      <c r="AL129" s="9" t="s">
        <v>18</v>
      </c>
      <c r="AM129" s="27">
        <v>5</v>
      </c>
      <c r="AN129" s="26">
        <v>5</v>
      </c>
      <c r="AO129" s="8" t="s">
        <v>18</v>
      </c>
      <c r="AP129" s="26">
        <v>5</v>
      </c>
      <c r="AQ129" s="60">
        <f t="shared" si="26"/>
        <v>5</v>
      </c>
      <c r="AR129" s="44">
        <f>IF($A121=TRUE,AQ129*$I121,0)</f>
        <v>25</v>
      </c>
      <c r="AS129" s="1" t="s">
        <v>16</v>
      </c>
      <c r="AT129" s="8" t="s">
        <v>18</v>
      </c>
      <c r="AU129" s="9" t="s">
        <v>18</v>
      </c>
      <c r="AV129" s="8" t="s">
        <v>18</v>
      </c>
      <c r="AW129" s="9" t="s">
        <v>18</v>
      </c>
      <c r="AX129" s="8" t="s">
        <v>18</v>
      </c>
      <c r="AY129" s="9" t="s">
        <v>18</v>
      </c>
      <c r="AZ129" s="8" t="s">
        <v>18</v>
      </c>
      <c r="BA129" s="9" t="s">
        <v>18</v>
      </c>
      <c r="BB129" s="60">
        <f t="shared" si="27"/>
        <v>0</v>
      </c>
      <c r="BC129" s="44">
        <f>IF($A121=TRUE,BB129*$I121,0)</f>
        <v>0</v>
      </c>
      <c r="BD129" s="44"/>
      <c r="BE129" s="44"/>
      <c r="BF129" s="44"/>
      <c r="BG129" s="44"/>
      <c r="BH129" s="44"/>
      <c r="BI129" s="44"/>
    </row>
    <row r="130" spans="1:61" x14ac:dyDescent="0.3">
      <c r="A130" s="1" t="s">
        <v>17</v>
      </c>
      <c r="B130" s="8" t="s">
        <v>18</v>
      </c>
      <c r="C130" s="9" t="s">
        <v>18</v>
      </c>
      <c r="D130" s="18">
        <v>3</v>
      </c>
      <c r="E130" s="19">
        <v>3</v>
      </c>
      <c r="F130" s="8" t="s">
        <v>18</v>
      </c>
      <c r="G130" s="9" t="s">
        <v>18</v>
      </c>
      <c r="H130" s="20">
        <v>2</v>
      </c>
      <c r="I130" s="23">
        <v>2</v>
      </c>
      <c r="J130" s="60">
        <f t="shared" si="23"/>
        <v>3</v>
      </c>
      <c r="K130" s="44">
        <f>IF(A121=TRUE,J130*I121,0)</f>
        <v>15</v>
      </c>
      <c r="L130" s="1" t="s">
        <v>17</v>
      </c>
      <c r="M130" s="8" t="s">
        <v>18</v>
      </c>
      <c r="N130" s="9" t="s">
        <v>18</v>
      </c>
      <c r="O130" s="18">
        <v>3</v>
      </c>
      <c r="P130" s="19">
        <v>3</v>
      </c>
      <c r="Q130" s="8" t="s">
        <v>18</v>
      </c>
      <c r="R130" s="9" t="s">
        <v>18</v>
      </c>
      <c r="S130" s="25">
        <v>4</v>
      </c>
      <c r="T130" s="17">
        <v>4</v>
      </c>
      <c r="U130" s="60">
        <f t="shared" si="24"/>
        <v>4</v>
      </c>
      <c r="V130" s="44">
        <f>IF($A121=TRUE,U130*$I121,0)</f>
        <v>20</v>
      </c>
      <c r="W130" s="1" t="s">
        <v>17</v>
      </c>
      <c r="X130" s="8" t="s">
        <v>18</v>
      </c>
      <c r="Y130" s="9" t="s">
        <v>18</v>
      </c>
      <c r="Z130" s="25">
        <v>4</v>
      </c>
      <c r="AA130" s="17">
        <v>4</v>
      </c>
      <c r="AB130" s="8" t="s">
        <v>18</v>
      </c>
      <c r="AC130" s="9" t="s">
        <v>18</v>
      </c>
      <c r="AD130" s="25">
        <v>4</v>
      </c>
      <c r="AE130" s="17">
        <v>4</v>
      </c>
      <c r="AF130" s="60">
        <f t="shared" si="25"/>
        <v>4</v>
      </c>
      <c r="AG130" s="44">
        <f>IF($A121=TRUE,AF130*$I121,0)</f>
        <v>20</v>
      </c>
      <c r="AH130" s="1" t="s">
        <v>17</v>
      </c>
      <c r="AI130" s="8" t="s">
        <v>18</v>
      </c>
      <c r="AJ130" s="9" t="s">
        <v>18</v>
      </c>
      <c r="AK130" s="18">
        <v>3</v>
      </c>
      <c r="AL130" s="19">
        <v>3</v>
      </c>
      <c r="AM130" s="8" t="s">
        <v>18</v>
      </c>
      <c r="AN130" s="9" t="s">
        <v>18</v>
      </c>
      <c r="AO130" s="25">
        <v>4</v>
      </c>
      <c r="AP130" s="17">
        <v>4</v>
      </c>
      <c r="AQ130" s="60">
        <f t="shared" si="26"/>
        <v>4</v>
      </c>
      <c r="AR130" s="44">
        <f>IF($A121=TRUE,AQ130*$I121,0)</f>
        <v>20</v>
      </c>
      <c r="AS130" s="1" t="s">
        <v>17</v>
      </c>
      <c r="AT130" s="8" t="s">
        <v>18</v>
      </c>
      <c r="AU130" s="9" t="s">
        <v>18</v>
      </c>
      <c r="AV130" s="16">
        <v>4</v>
      </c>
      <c r="AW130" s="17">
        <v>4</v>
      </c>
      <c r="AX130" s="8" t="s">
        <v>18</v>
      </c>
      <c r="AY130" s="9" t="s">
        <v>18</v>
      </c>
      <c r="AZ130" s="16">
        <v>4</v>
      </c>
      <c r="BA130" s="17">
        <v>4</v>
      </c>
      <c r="BB130" s="60">
        <f t="shared" si="27"/>
        <v>4</v>
      </c>
      <c r="BC130" s="44">
        <f>IF($A121=TRUE,BB130*$I121,0)</f>
        <v>20</v>
      </c>
      <c r="BD130" s="44"/>
      <c r="BE130" s="44"/>
      <c r="BF130" s="44"/>
      <c r="BG130" s="44"/>
      <c r="BH130" s="44"/>
      <c r="BI130" s="44"/>
    </row>
    <row r="131" spans="1:61" x14ac:dyDescent="0.3">
      <c r="A131" s="1" t="s">
        <v>2</v>
      </c>
      <c r="B131" s="51">
        <v>4</v>
      </c>
      <c r="C131" s="48">
        <v>4</v>
      </c>
      <c r="D131" s="8" t="s">
        <v>18</v>
      </c>
      <c r="E131" s="9" t="s">
        <v>18</v>
      </c>
      <c r="F131" s="51">
        <v>4</v>
      </c>
      <c r="G131" s="48">
        <v>4</v>
      </c>
      <c r="H131" s="8" t="s">
        <v>18</v>
      </c>
      <c r="I131" s="9" t="s">
        <v>18</v>
      </c>
      <c r="J131" s="60">
        <f t="shared" si="23"/>
        <v>4</v>
      </c>
      <c r="K131" s="44">
        <f>IF(A121=TRUE,J131*I121,0)</f>
        <v>20</v>
      </c>
      <c r="L131" s="1" t="s">
        <v>2</v>
      </c>
      <c r="M131" s="51">
        <v>4</v>
      </c>
      <c r="N131" s="48">
        <v>4</v>
      </c>
      <c r="O131" s="8" t="s">
        <v>18</v>
      </c>
      <c r="P131" s="9" t="s">
        <v>18</v>
      </c>
      <c r="Q131" s="51">
        <v>4</v>
      </c>
      <c r="R131" s="48">
        <v>4</v>
      </c>
      <c r="S131" s="8" t="s">
        <v>18</v>
      </c>
      <c r="T131" s="9" t="s">
        <v>18</v>
      </c>
      <c r="U131" s="60">
        <f t="shared" si="24"/>
        <v>4</v>
      </c>
      <c r="V131" s="44">
        <f>IF($A121=TRUE,U131*$I121,0)</f>
        <v>20</v>
      </c>
      <c r="W131" s="1" t="s">
        <v>2</v>
      </c>
      <c r="X131" s="51">
        <v>4</v>
      </c>
      <c r="Y131" s="48">
        <v>4</v>
      </c>
      <c r="Z131" s="8" t="s">
        <v>18</v>
      </c>
      <c r="AA131" s="9" t="s">
        <v>18</v>
      </c>
      <c r="AB131" s="51">
        <v>4</v>
      </c>
      <c r="AC131" s="48">
        <v>4</v>
      </c>
      <c r="AD131" s="8" t="s">
        <v>18</v>
      </c>
      <c r="AE131" s="9" t="s">
        <v>18</v>
      </c>
      <c r="AF131" s="60">
        <f t="shared" si="25"/>
        <v>4</v>
      </c>
      <c r="AG131" s="44">
        <f>IF($A121=TRUE,AF131*$I121,0)</f>
        <v>20</v>
      </c>
      <c r="AH131" s="1" t="s">
        <v>2</v>
      </c>
      <c r="AI131" s="51">
        <v>4</v>
      </c>
      <c r="AJ131" s="48">
        <v>4</v>
      </c>
      <c r="AK131" s="8" t="s">
        <v>18</v>
      </c>
      <c r="AL131" s="9" t="s">
        <v>18</v>
      </c>
      <c r="AM131" s="51">
        <v>4</v>
      </c>
      <c r="AN131" s="48">
        <v>4</v>
      </c>
      <c r="AO131" s="8" t="s">
        <v>18</v>
      </c>
      <c r="AP131" s="9" t="s">
        <v>18</v>
      </c>
      <c r="AQ131" s="60">
        <f t="shared" si="26"/>
        <v>4</v>
      </c>
      <c r="AR131" s="44">
        <f>IF($A121=TRUE,AQ131*$I121,0)</f>
        <v>20</v>
      </c>
      <c r="AS131" s="1" t="s">
        <v>2</v>
      </c>
      <c r="AT131" s="8" t="s">
        <v>18</v>
      </c>
      <c r="AU131" s="9" t="s">
        <v>18</v>
      </c>
      <c r="AV131" s="8" t="s">
        <v>18</v>
      </c>
      <c r="AW131" s="9" t="s">
        <v>18</v>
      </c>
      <c r="AX131" s="8" t="s">
        <v>18</v>
      </c>
      <c r="AY131" s="9" t="s">
        <v>18</v>
      </c>
      <c r="AZ131" s="8" t="s">
        <v>18</v>
      </c>
      <c r="BA131" s="9" t="s">
        <v>18</v>
      </c>
      <c r="BB131" s="60">
        <f t="shared" si="27"/>
        <v>0</v>
      </c>
      <c r="BC131" s="44">
        <f>IF($A121=TRUE,BB131*$I121,0)</f>
        <v>0</v>
      </c>
      <c r="BD131" s="44"/>
      <c r="BE131" s="44"/>
      <c r="BF131" s="44"/>
      <c r="BG131" s="44"/>
      <c r="BH131" s="44"/>
      <c r="BI131" s="44"/>
    </row>
    <row r="132" spans="1:61" x14ac:dyDescent="0.3">
      <c r="A132" s="1" t="s">
        <v>20</v>
      </c>
      <c r="B132" s="8" t="s">
        <v>18</v>
      </c>
      <c r="C132" s="9" t="s">
        <v>18</v>
      </c>
      <c r="D132" s="27">
        <v>5</v>
      </c>
      <c r="E132" s="26">
        <v>5</v>
      </c>
      <c r="F132" s="8" t="s">
        <v>18</v>
      </c>
      <c r="G132" s="9" t="s">
        <v>18</v>
      </c>
      <c r="H132" s="8" t="s">
        <v>18</v>
      </c>
      <c r="I132" s="26">
        <v>5</v>
      </c>
      <c r="J132" s="60">
        <f t="shared" si="23"/>
        <v>5</v>
      </c>
      <c r="K132" s="44">
        <f>IF(A121=TRUE,J132*I121,0)</f>
        <v>25</v>
      </c>
      <c r="L132" s="1" t="s">
        <v>20</v>
      </c>
      <c r="M132" s="8" t="s">
        <v>18</v>
      </c>
      <c r="N132" s="9" t="s">
        <v>18</v>
      </c>
      <c r="O132" s="27">
        <v>5</v>
      </c>
      <c r="P132" s="26">
        <v>5</v>
      </c>
      <c r="Q132" s="8" t="s">
        <v>18</v>
      </c>
      <c r="R132" s="9" t="s">
        <v>18</v>
      </c>
      <c r="S132" s="8" t="s">
        <v>18</v>
      </c>
      <c r="T132" s="26">
        <v>5</v>
      </c>
      <c r="U132" s="60">
        <f t="shared" si="24"/>
        <v>5</v>
      </c>
      <c r="V132" s="44">
        <f>IF($A121=TRUE,U132*$I121,0)</f>
        <v>25</v>
      </c>
      <c r="W132" s="1" t="s">
        <v>20</v>
      </c>
      <c r="X132" s="8" t="s">
        <v>18</v>
      </c>
      <c r="Y132" s="9" t="s">
        <v>18</v>
      </c>
      <c r="Z132" s="27">
        <v>5</v>
      </c>
      <c r="AA132" s="26">
        <v>5</v>
      </c>
      <c r="AB132" s="8" t="s">
        <v>18</v>
      </c>
      <c r="AC132" s="9" t="s">
        <v>18</v>
      </c>
      <c r="AD132" s="8" t="s">
        <v>18</v>
      </c>
      <c r="AE132" s="26">
        <v>5</v>
      </c>
      <c r="AF132" s="60">
        <f t="shared" si="25"/>
        <v>5</v>
      </c>
      <c r="AG132" s="44">
        <f>IF($A121=TRUE,AF132*$I121,0)</f>
        <v>25</v>
      </c>
      <c r="AH132" s="1" t="s">
        <v>20</v>
      </c>
      <c r="AI132" s="8" t="s">
        <v>18</v>
      </c>
      <c r="AJ132" s="9" t="s">
        <v>18</v>
      </c>
      <c r="AK132" s="27">
        <v>5</v>
      </c>
      <c r="AL132" s="26">
        <v>5</v>
      </c>
      <c r="AM132" s="8" t="s">
        <v>18</v>
      </c>
      <c r="AN132" s="9" t="s">
        <v>18</v>
      </c>
      <c r="AO132" s="8" t="s">
        <v>18</v>
      </c>
      <c r="AP132" s="26">
        <v>5</v>
      </c>
      <c r="AQ132" s="60">
        <f t="shared" si="26"/>
        <v>5</v>
      </c>
      <c r="AR132" s="44">
        <f>IF($A121=TRUE,AQ132*$I121,0)</f>
        <v>25</v>
      </c>
      <c r="AS132" s="1" t="s">
        <v>20</v>
      </c>
      <c r="AT132" s="8" t="s">
        <v>18</v>
      </c>
      <c r="AU132" s="9" t="s">
        <v>18</v>
      </c>
      <c r="AV132" s="8" t="s">
        <v>18</v>
      </c>
      <c r="AW132" s="9" t="s">
        <v>18</v>
      </c>
      <c r="AX132" s="8" t="s">
        <v>18</v>
      </c>
      <c r="AY132" s="9" t="s">
        <v>18</v>
      </c>
      <c r="AZ132" s="8" t="s">
        <v>18</v>
      </c>
      <c r="BA132" s="9" t="s">
        <v>18</v>
      </c>
      <c r="BB132" s="60">
        <f t="shared" si="27"/>
        <v>0</v>
      </c>
      <c r="BC132" s="44">
        <f>IF($A121=TRUE,BB132*$I121,0)</f>
        <v>0</v>
      </c>
      <c r="BD132" s="44"/>
      <c r="BE132" s="44"/>
      <c r="BF132" s="44"/>
      <c r="BG132" s="44"/>
      <c r="BH132" s="44"/>
      <c r="BI132" s="44"/>
    </row>
    <row r="133" spans="1:61" x14ac:dyDescent="0.3">
      <c r="A133" s="1" t="s">
        <v>3</v>
      </c>
      <c r="B133" s="8" t="s">
        <v>18</v>
      </c>
      <c r="C133" s="9" t="s">
        <v>18</v>
      </c>
      <c r="D133" s="20">
        <v>2</v>
      </c>
      <c r="E133" s="23">
        <v>2</v>
      </c>
      <c r="F133" s="8" t="s">
        <v>18</v>
      </c>
      <c r="G133" s="9" t="s">
        <v>18</v>
      </c>
      <c r="H133" s="8" t="s">
        <v>18</v>
      </c>
      <c r="I133" s="9" t="s">
        <v>18</v>
      </c>
      <c r="J133" s="60">
        <f t="shared" si="23"/>
        <v>2</v>
      </c>
      <c r="K133" s="44">
        <f>IF(A121=TRUE,J133*I121,0)</f>
        <v>10</v>
      </c>
      <c r="L133" s="1" t="s">
        <v>3</v>
      </c>
      <c r="M133" s="8" t="s">
        <v>18</v>
      </c>
      <c r="N133" s="9" t="s">
        <v>18</v>
      </c>
      <c r="O133" s="18">
        <v>3</v>
      </c>
      <c r="P133" s="19">
        <v>3</v>
      </c>
      <c r="Q133" s="8" t="s">
        <v>18</v>
      </c>
      <c r="R133" s="9" t="s">
        <v>18</v>
      </c>
      <c r="S133" s="8" t="s">
        <v>18</v>
      </c>
      <c r="T133" s="9" t="s">
        <v>18</v>
      </c>
      <c r="U133" s="60">
        <f t="shared" si="24"/>
        <v>3</v>
      </c>
      <c r="V133" s="44">
        <f>IF($A121=TRUE,U133*$I121,0)</f>
        <v>15</v>
      </c>
      <c r="W133" s="1" t="s">
        <v>3</v>
      </c>
      <c r="X133" s="8" t="s">
        <v>18</v>
      </c>
      <c r="Y133" s="9" t="s">
        <v>18</v>
      </c>
      <c r="Z133" s="18">
        <v>3</v>
      </c>
      <c r="AA133" s="19">
        <v>3</v>
      </c>
      <c r="AB133" s="8" t="s">
        <v>18</v>
      </c>
      <c r="AC133" s="9" t="s">
        <v>18</v>
      </c>
      <c r="AD133" s="8" t="s">
        <v>18</v>
      </c>
      <c r="AE133" s="9" t="s">
        <v>18</v>
      </c>
      <c r="AF133" s="60">
        <f t="shared" si="25"/>
        <v>3</v>
      </c>
      <c r="AG133" s="44">
        <f>IF($A121=TRUE,AF133*$I121,0)</f>
        <v>15</v>
      </c>
      <c r="AH133" s="1" t="s">
        <v>3</v>
      </c>
      <c r="AI133" s="8" t="s">
        <v>18</v>
      </c>
      <c r="AJ133" s="9" t="s">
        <v>18</v>
      </c>
      <c r="AK133" s="51">
        <v>4</v>
      </c>
      <c r="AL133" s="48">
        <v>4</v>
      </c>
      <c r="AM133" s="8" t="s">
        <v>18</v>
      </c>
      <c r="AN133" s="9" t="s">
        <v>18</v>
      </c>
      <c r="AO133" s="8" t="s">
        <v>18</v>
      </c>
      <c r="AP133" s="9" t="s">
        <v>18</v>
      </c>
      <c r="AQ133" s="60">
        <f t="shared" si="26"/>
        <v>4</v>
      </c>
      <c r="AR133" s="44">
        <f>IF($A121=TRUE,AQ133*$I121,0)</f>
        <v>20</v>
      </c>
      <c r="AS133" s="1" t="s">
        <v>3</v>
      </c>
      <c r="AT133" s="8" t="s">
        <v>18</v>
      </c>
      <c r="AU133" s="9" t="s">
        <v>18</v>
      </c>
      <c r="AV133" s="8" t="s">
        <v>18</v>
      </c>
      <c r="AW133" s="9" t="s">
        <v>18</v>
      </c>
      <c r="AX133" s="8" t="s">
        <v>18</v>
      </c>
      <c r="AY133" s="9" t="s">
        <v>18</v>
      </c>
      <c r="AZ133" s="73">
        <v>4</v>
      </c>
      <c r="BA133" s="73">
        <v>4</v>
      </c>
      <c r="BB133" s="60">
        <f t="shared" si="27"/>
        <v>4</v>
      </c>
      <c r="BC133" s="44">
        <f>IF($A121=TRUE,BB133*$I121,0)</f>
        <v>20</v>
      </c>
      <c r="BD133" s="44"/>
      <c r="BE133" s="44"/>
      <c r="BF133" s="44"/>
      <c r="BG133" s="44"/>
      <c r="BH133" s="44"/>
      <c r="BI133" s="44"/>
    </row>
    <row r="134" spans="1:61" x14ac:dyDescent="0.3">
      <c r="A134" s="13" t="s">
        <v>12</v>
      </c>
      <c r="B134" s="14" t="s">
        <v>18</v>
      </c>
      <c r="C134" s="15" t="s">
        <v>18</v>
      </c>
      <c r="D134" s="30">
        <v>3</v>
      </c>
      <c r="E134" s="32">
        <v>3</v>
      </c>
      <c r="F134" s="14" t="s">
        <v>18</v>
      </c>
      <c r="G134" s="15" t="s">
        <v>18</v>
      </c>
      <c r="H134" s="14" t="s">
        <v>18</v>
      </c>
      <c r="I134" s="15" t="s">
        <v>18</v>
      </c>
      <c r="J134" s="60">
        <f t="shared" si="23"/>
        <v>3</v>
      </c>
      <c r="K134" s="44">
        <f>IF(A121=TRUE,J134*I121,0)</f>
        <v>15</v>
      </c>
      <c r="L134" s="13" t="s">
        <v>12</v>
      </c>
      <c r="M134" s="14" t="s">
        <v>18</v>
      </c>
      <c r="N134" s="15" t="s">
        <v>18</v>
      </c>
      <c r="O134" s="30">
        <v>3</v>
      </c>
      <c r="P134" s="32">
        <v>3</v>
      </c>
      <c r="Q134" s="14" t="s">
        <v>18</v>
      </c>
      <c r="R134" s="15" t="s">
        <v>18</v>
      </c>
      <c r="S134" s="14" t="s">
        <v>18</v>
      </c>
      <c r="T134" s="15" t="s">
        <v>18</v>
      </c>
      <c r="U134" s="60">
        <f t="shared" si="24"/>
        <v>3</v>
      </c>
      <c r="V134" s="44">
        <f>IF($A121=TRUE,U134*$I121,0)</f>
        <v>15</v>
      </c>
      <c r="W134" s="13" t="s">
        <v>12</v>
      </c>
      <c r="X134" s="14" t="s">
        <v>18</v>
      </c>
      <c r="Y134" s="15" t="s">
        <v>18</v>
      </c>
      <c r="Z134" s="53">
        <v>5</v>
      </c>
      <c r="AA134" s="34">
        <v>5</v>
      </c>
      <c r="AB134" s="14" t="s">
        <v>18</v>
      </c>
      <c r="AC134" s="15" t="s">
        <v>18</v>
      </c>
      <c r="AD134" s="14" t="s">
        <v>18</v>
      </c>
      <c r="AE134" s="15" t="s">
        <v>18</v>
      </c>
      <c r="AF134" s="60">
        <f t="shared" si="25"/>
        <v>5</v>
      </c>
      <c r="AG134" s="44">
        <f>IF($A121=TRUE,AF134*$I121,0)</f>
        <v>25</v>
      </c>
      <c r="AH134" s="13" t="s">
        <v>12</v>
      </c>
      <c r="AI134" s="14" t="s">
        <v>18</v>
      </c>
      <c r="AJ134" s="15" t="s">
        <v>18</v>
      </c>
      <c r="AK134" s="30">
        <v>3</v>
      </c>
      <c r="AL134" s="32">
        <v>3</v>
      </c>
      <c r="AM134" s="14" t="s">
        <v>18</v>
      </c>
      <c r="AN134" s="15" t="s">
        <v>18</v>
      </c>
      <c r="AO134" s="14" t="s">
        <v>18</v>
      </c>
      <c r="AP134" s="15" t="s">
        <v>18</v>
      </c>
      <c r="AQ134" s="60">
        <f t="shared" si="26"/>
        <v>3</v>
      </c>
      <c r="AR134" s="44">
        <f>IF($A121=TRUE,AQ134*$I121,0)</f>
        <v>15</v>
      </c>
      <c r="AS134" s="13" t="s">
        <v>12</v>
      </c>
      <c r="AT134" s="14" t="s">
        <v>18</v>
      </c>
      <c r="AU134" s="15" t="s">
        <v>18</v>
      </c>
      <c r="AV134" s="16">
        <v>4</v>
      </c>
      <c r="AW134" s="17">
        <v>4</v>
      </c>
      <c r="AX134" s="14" t="s">
        <v>18</v>
      </c>
      <c r="AY134" s="15" t="s">
        <v>18</v>
      </c>
      <c r="AZ134" s="73">
        <v>4</v>
      </c>
      <c r="BA134" s="73">
        <v>4</v>
      </c>
      <c r="BB134" s="60">
        <f t="shared" si="27"/>
        <v>4</v>
      </c>
      <c r="BC134" s="44">
        <f>IF($A121=TRUE,BB134*$I121,0)</f>
        <v>20</v>
      </c>
      <c r="BD134" s="44"/>
      <c r="BE134" s="44"/>
      <c r="BF134" s="44"/>
      <c r="BG134" s="44"/>
      <c r="BH134" s="44"/>
      <c r="BI134" s="44"/>
    </row>
    <row r="135" spans="1:61" x14ac:dyDescent="0.3">
      <c r="J135" s="60"/>
    </row>
    <row r="136" spans="1:61" x14ac:dyDescent="0.3">
      <c r="A136" s="4" t="s">
        <v>19</v>
      </c>
      <c r="B136" s="2"/>
      <c r="C136" s="2"/>
      <c r="D136" s="2"/>
      <c r="E136" s="2"/>
      <c r="F136" s="2"/>
      <c r="G136" s="2"/>
      <c r="H136" s="2"/>
      <c r="I136" s="2" t="s">
        <v>26</v>
      </c>
      <c r="J136" s="60"/>
    </row>
    <row r="137" spans="1:61" x14ac:dyDescent="0.3">
      <c r="A137" s="2" t="b">
        <v>1</v>
      </c>
      <c r="B137" s="2"/>
      <c r="C137" s="2"/>
      <c r="D137" s="2"/>
      <c r="E137" s="2"/>
      <c r="F137" s="2"/>
      <c r="G137" s="2"/>
      <c r="H137" s="2"/>
      <c r="I137" s="2">
        <f>F18</f>
        <v>7</v>
      </c>
      <c r="J137" s="60"/>
    </row>
    <row r="138" spans="1:61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60"/>
    </row>
    <row r="139" spans="1:61" x14ac:dyDescent="0.3">
      <c r="A139" s="10" t="s">
        <v>14</v>
      </c>
      <c r="B139" s="85" t="s">
        <v>7</v>
      </c>
      <c r="C139" s="86"/>
      <c r="D139" s="85" t="s">
        <v>10</v>
      </c>
      <c r="E139" s="86"/>
      <c r="F139" s="87" t="s">
        <v>11</v>
      </c>
      <c r="G139" s="86"/>
      <c r="H139" s="85" t="s">
        <v>13</v>
      </c>
      <c r="I139" s="86"/>
      <c r="J139" s="60"/>
      <c r="L139" s="10" t="s">
        <v>14</v>
      </c>
      <c r="M139" s="85" t="s">
        <v>7</v>
      </c>
      <c r="N139" s="86"/>
      <c r="O139" s="85" t="s">
        <v>10</v>
      </c>
      <c r="P139" s="86"/>
      <c r="Q139" s="87" t="s">
        <v>11</v>
      </c>
      <c r="R139" s="86"/>
      <c r="S139" s="85" t="s">
        <v>13</v>
      </c>
      <c r="T139" s="86"/>
      <c r="W139" s="10" t="s">
        <v>14</v>
      </c>
      <c r="X139" s="85" t="s">
        <v>7</v>
      </c>
      <c r="Y139" s="86"/>
      <c r="Z139" s="85" t="s">
        <v>10</v>
      </c>
      <c r="AA139" s="86"/>
      <c r="AB139" s="87" t="s">
        <v>11</v>
      </c>
      <c r="AC139" s="86"/>
      <c r="AD139" s="85" t="s">
        <v>13</v>
      </c>
      <c r="AE139" s="86"/>
      <c r="AH139" s="10" t="s">
        <v>14</v>
      </c>
      <c r="AI139" s="85" t="s">
        <v>7</v>
      </c>
      <c r="AJ139" s="86"/>
      <c r="AK139" s="85" t="s">
        <v>10</v>
      </c>
      <c r="AL139" s="86"/>
      <c r="AM139" s="87" t="s">
        <v>11</v>
      </c>
      <c r="AN139" s="86"/>
      <c r="AO139" s="85" t="s">
        <v>13</v>
      </c>
      <c r="AP139" s="86"/>
      <c r="AS139" s="10" t="s">
        <v>14</v>
      </c>
      <c r="AT139" s="85" t="s">
        <v>7</v>
      </c>
      <c r="AU139" s="86"/>
      <c r="AV139" s="85" t="s">
        <v>10</v>
      </c>
      <c r="AW139" s="86"/>
      <c r="AX139" s="87" t="s">
        <v>11</v>
      </c>
      <c r="AY139" s="86"/>
      <c r="AZ139" s="85" t="s">
        <v>13</v>
      </c>
      <c r="BA139" s="86"/>
    </row>
    <row r="140" spans="1:61" ht="15" thickBot="1" x14ac:dyDescent="0.35">
      <c r="A140" s="11" t="s">
        <v>0</v>
      </c>
      <c r="B140" s="5" t="s">
        <v>8</v>
      </c>
      <c r="C140" s="6" t="s">
        <v>9</v>
      </c>
      <c r="D140" s="7" t="s">
        <v>8</v>
      </c>
      <c r="E140" s="6" t="s">
        <v>9</v>
      </c>
      <c r="F140" s="7" t="s">
        <v>8</v>
      </c>
      <c r="G140" s="6" t="s">
        <v>9</v>
      </c>
      <c r="H140" s="7" t="s">
        <v>8</v>
      </c>
      <c r="I140" s="6" t="s">
        <v>9</v>
      </c>
      <c r="J140" s="60"/>
      <c r="L140" s="11" t="s">
        <v>0</v>
      </c>
      <c r="M140" s="5" t="s">
        <v>8</v>
      </c>
      <c r="N140" s="6" t="s">
        <v>9</v>
      </c>
      <c r="O140" s="7" t="s">
        <v>8</v>
      </c>
      <c r="P140" s="6" t="s">
        <v>9</v>
      </c>
      <c r="Q140" s="7" t="s">
        <v>8</v>
      </c>
      <c r="R140" s="6" t="s">
        <v>9</v>
      </c>
      <c r="S140" s="7" t="s">
        <v>8</v>
      </c>
      <c r="T140" s="6" t="s">
        <v>9</v>
      </c>
      <c r="W140" s="11" t="s">
        <v>0</v>
      </c>
      <c r="X140" s="5" t="s">
        <v>8</v>
      </c>
      <c r="Y140" s="6" t="s">
        <v>9</v>
      </c>
      <c r="Z140" s="7" t="s">
        <v>8</v>
      </c>
      <c r="AA140" s="6" t="s">
        <v>9</v>
      </c>
      <c r="AB140" s="7" t="s">
        <v>8</v>
      </c>
      <c r="AC140" s="6" t="s">
        <v>9</v>
      </c>
      <c r="AD140" s="7" t="s">
        <v>8</v>
      </c>
      <c r="AE140" s="6" t="s">
        <v>9</v>
      </c>
      <c r="AH140" s="11" t="s">
        <v>0</v>
      </c>
      <c r="AI140" s="5" t="s">
        <v>8</v>
      </c>
      <c r="AJ140" s="6" t="s">
        <v>9</v>
      </c>
      <c r="AK140" s="7" t="s">
        <v>8</v>
      </c>
      <c r="AL140" s="6" t="s">
        <v>9</v>
      </c>
      <c r="AM140" s="7" t="s">
        <v>8</v>
      </c>
      <c r="AN140" s="6" t="s">
        <v>9</v>
      </c>
      <c r="AO140" s="7" t="s">
        <v>8</v>
      </c>
      <c r="AP140" s="6" t="s">
        <v>9</v>
      </c>
      <c r="AS140" s="11" t="s">
        <v>0</v>
      </c>
      <c r="AT140" s="5" t="s">
        <v>8</v>
      </c>
      <c r="AU140" s="6" t="s">
        <v>9</v>
      </c>
      <c r="AV140" s="7" t="s">
        <v>8</v>
      </c>
      <c r="AW140" s="6" t="s">
        <v>9</v>
      </c>
      <c r="AX140" s="7" t="s">
        <v>8</v>
      </c>
      <c r="AY140" s="6" t="s">
        <v>9</v>
      </c>
      <c r="AZ140" s="7" t="s">
        <v>8</v>
      </c>
      <c r="BA140" s="6" t="s">
        <v>9</v>
      </c>
    </row>
    <row r="141" spans="1:61" ht="15" thickTop="1" x14ac:dyDescent="0.3">
      <c r="A141" s="1" t="s">
        <v>4</v>
      </c>
      <c r="B141" s="16">
        <v>4</v>
      </c>
      <c r="C141" s="17">
        <v>4</v>
      </c>
      <c r="D141" s="25">
        <v>4</v>
      </c>
      <c r="E141" s="17">
        <v>4</v>
      </c>
      <c r="F141" s="25">
        <v>4</v>
      </c>
      <c r="G141" s="17">
        <v>4</v>
      </c>
      <c r="H141" s="8" t="s">
        <v>18</v>
      </c>
      <c r="I141" s="9" t="s">
        <v>18</v>
      </c>
      <c r="J141" s="60">
        <f t="shared" si="23"/>
        <v>4</v>
      </c>
      <c r="K141" s="44">
        <f>IF(A137=TRUE,J141*I137,0)</f>
        <v>28</v>
      </c>
      <c r="L141" s="1" t="s">
        <v>4</v>
      </c>
      <c r="M141" s="16">
        <v>4</v>
      </c>
      <c r="N141" s="17">
        <v>4</v>
      </c>
      <c r="O141" s="25">
        <v>4</v>
      </c>
      <c r="P141" s="17">
        <v>4</v>
      </c>
      <c r="Q141" s="25">
        <v>4</v>
      </c>
      <c r="R141" s="17">
        <v>4</v>
      </c>
      <c r="S141" s="8" t="s">
        <v>18</v>
      </c>
      <c r="T141" s="9" t="s">
        <v>18</v>
      </c>
      <c r="U141" s="60">
        <f>MAX(M141:T141)</f>
        <v>4</v>
      </c>
      <c r="V141" s="44">
        <f>IF($A137=TRUE,U141*$I137,0)</f>
        <v>28</v>
      </c>
      <c r="W141" s="1" t="s">
        <v>4</v>
      </c>
      <c r="X141" s="16">
        <v>4</v>
      </c>
      <c r="Y141" s="17">
        <v>4</v>
      </c>
      <c r="Z141" s="25">
        <v>4</v>
      </c>
      <c r="AA141" s="17">
        <v>4</v>
      </c>
      <c r="AB141" s="25">
        <v>4</v>
      </c>
      <c r="AC141" s="17">
        <v>4</v>
      </c>
      <c r="AD141" s="8" t="s">
        <v>18</v>
      </c>
      <c r="AE141" s="9" t="s">
        <v>18</v>
      </c>
      <c r="AF141" s="60">
        <f>MAX(X141:AE141)</f>
        <v>4</v>
      </c>
      <c r="AG141" s="44">
        <f>IF($A137=TRUE,AF141*$I137,0)</f>
        <v>28</v>
      </c>
      <c r="AH141" s="1" t="s">
        <v>4</v>
      </c>
      <c r="AI141" s="16">
        <v>4</v>
      </c>
      <c r="AJ141" s="17">
        <v>4</v>
      </c>
      <c r="AK141" s="25">
        <v>4</v>
      </c>
      <c r="AL141" s="17">
        <v>4</v>
      </c>
      <c r="AM141" s="25">
        <v>4</v>
      </c>
      <c r="AN141" s="17">
        <v>4</v>
      </c>
      <c r="AO141" s="8" t="s">
        <v>18</v>
      </c>
      <c r="AP141" s="9" t="s">
        <v>18</v>
      </c>
      <c r="AQ141" s="60">
        <f>MAX(AI141:AP141)</f>
        <v>4</v>
      </c>
      <c r="AR141" s="44">
        <f>IF($A137=TRUE,AQ141*$I137,0)</f>
        <v>28</v>
      </c>
      <c r="AS141" s="1" t="s">
        <v>4</v>
      </c>
      <c r="AT141" s="8" t="s">
        <v>18</v>
      </c>
      <c r="AU141" s="9" t="s">
        <v>18</v>
      </c>
      <c r="AV141" s="8" t="s">
        <v>18</v>
      </c>
      <c r="AW141" s="9" t="s">
        <v>18</v>
      </c>
      <c r="AX141" s="8" t="s">
        <v>18</v>
      </c>
      <c r="AY141" s="9" t="s">
        <v>18</v>
      </c>
      <c r="AZ141" s="8" t="s">
        <v>18</v>
      </c>
      <c r="BA141" s="9" t="s">
        <v>18</v>
      </c>
      <c r="BB141" s="60">
        <f>MAX(AT141:BA141)</f>
        <v>0</v>
      </c>
      <c r="BC141" s="44">
        <f>IF($A137=TRUE,BB141*$I137,0)</f>
        <v>0</v>
      </c>
    </row>
    <row r="142" spans="1:61" x14ac:dyDescent="0.3">
      <c r="A142" s="1" t="s">
        <v>5</v>
      </c>
      <c r="B142" s="28">
        <v>3</v>
      </c>
      <c r="C142" s="19">
        <v>3</v>
      </c>
      <c r="D142" s="8" t="s">
        <v>18</v>
      </c>
      <c r="E142" s="9" t="s">
        <v>18</v>
      </c>
      <c r="F142" s="18">
        <v>3</v>
      </c>
      <c r="G142" s="19">
        <v>3</v>
      </c>
      <c r="H142" s="8" t="s">
        <v>18</v>
      </c>
      <c r="I142" s="9" t="s">
        <v>18</v>
      </c>
      <c r="J142" s="60">
        <f t="shared" si="23"/>
        <v>3</v>
      </c>
      <c r="K142" s="44">
        <f>IF(A137=TRUE,J142*I137,0)</f>
        <v>21</v>
      </c>
      <c r="L142" s="1" t="s">
        <v>5</v>
      </c>
      <c r="M142" s="28">
        <v>3</v>
      </c>
      <c r="N142" s="19">
        <v>3</v>
      </c>
      <c r="O142" s="8" t="s">
        <v>18</v>
      </c>
      <c r="P142" s="9" t="s">
        <v>18</v>
      </c>
      <c r="Q142" s="18">
        <v>3</v>
      </c>
      <c r="R142" s="19">
        <v>3</v>
      </c>
      <c r="S142" s="8" t="s">
        <v>18</v>
      </c>
      <c r="T142" s="9" t="s">
        <v>18</v>
      </c>
      <c r="U142" s="60">
        <f t="shared" ref="U142:U150" si="28">MAX(M142:T142)</f>
        <v>3</v>
      </c>
      <c r="V142" s="44">
        <f>IF($A137=TRUE,U142*$I137,0)</f>
        <v>21</v>
      </c>
      <c r="W142" s="1" t="s">
        <v>5</v>
      </c>
      <c r="X142" s="28">
        <v>3</v>
      </c>
      <c r="Y142" s="19">
        <v>3</v>
      </c>
      <c r="Z142" s="8" t="s">
        <v>18</v>
      </c>
      <c r="AA142" s="9" t="s">
        <v>18</v>
      </c>
      <c r="AB142" s="18">
        <v>3</v>
      </c>
      <c r="AC142" s="19">
        <v>3</v>
      </c>
      <c r="AD142" s="8" t="s">
        <v>18</v>
      </c>
      <c r="AE142" s="9" t="s">
        <v>18</v>
      </c>
      <c r="AF142" s="60">
        <f t="shared" ref="AF142:AF150" si="29">MAX(X142:AE142)</f>
        <v>3</v>
      </c>
      <c r="AG142" s="44">
        <f>IF($A137=TRUE,AF142*$I137,0)</f>
        <v>21</v>
      </c>
      <c r="AH142" s="1" t="s">
        <v>5</v>
      </c>
      <c r="AI142" s="28">
        <v>3</v>
      </c>
      <c r="AJ142" s="19">
        <v>3</v>
      </c>
      <c r="AK142" s="8" t="s">
        <v>18</v>
      </c>
      <c r="AL142" s="9" t="s">
        <v>18</v>
      </c>
      <c r="AM142" s="18">
        <v>3</v>
      </c>
      <c r="AN142" s="19">
        <v>3</v>
      </c>
      <c r="AO142" s="8" t="s">
        <v>18</v>
      </c>
      <c r="AP142" s="9" t="s">
        <v>18</v>
      </c>
      <c r="AQ142" s="60">
        <f t="shared" ref="AQ142:AQ150" si="30">MAX(AI142:AP142)</f>
        <v>3</v>
      </c>
      <c r="AR142" s="44">
        <f>IF($A137=TRUE,AQ142*$I137,0)</f>
        <v>21</v>
      </c>
      <c r="AS142" s="1" t="s">
        <v>5</v>
      </c>
      <c r="AT142" s="8" t="s">
        <v>18</v>
      </c>
      <c r="AU142" s="9" t="s">
        <v>18</v>
      </c>
      <c r="AV142" s="8" t="s">
        <v>18</v>
      </c>
      <c r="AW142" s="9" t="s">
        <v>18</v>
      </c>
      <c r="AX142" s="8" t="s">
        <v>18</v>
      </c>
      <c r="AY142" s="9" t="s">
        <v>18</v>
      </c>
      <c r="AZ142" s="8" t="s">
        <v>18</v>
      </c>
      <c r="BA142" s="9" t="s">
        <v>18</v>
      </c>
      <c r="BB142" s="60">
        <f t="shared" ref="BB142:BB150" si="31">MAX(AT142:BA142)</f>
        <v>0</v>
      </c>
      <c r="BC142" s="44">
        <f>IF($A137=TRUE,BB142*$I137,0)</f>
        <v>0</v>
      </c>
    </row>
    <row r="143" spans="1:61" x14ac:dyDescent="0.3">
      <c r="A143" s="1" t="s">
        <v>6</v>
      </c>
      <c r="B143" s="29">
        <v>2</v>
      </c>
      <c r="C143" s="23">
        <v>2</v>
      </c>
      <c r="D143" s="8" t="s">
        <v>18</v>
      </c>
      <c r="E143" s="9" t="s">
        <v>18</v>
      </c>
      <c r="F143" s="20">
        <v>2</v>
      </c>
      <c r="G143" s="23">
        <v>2</v>
      </c>
      <c r="H143" s="8" t="s">
        <v>18</v>
      </c>
      <c r="I143" s="9" t="s">
        <v>18</v>
      </c>
      <c r="J143" s="60">
        <f t="shared" si="23"/>
        <v>2</v>
      </c>
      <c r="K143" s="44">
        <f>IF(A137=TRUE,J143*I137,0)</f>
        <v>14</v>
      </c>
      <c r="L143" s="1" t="s">
        <v>6</v>
      </c>
      <c r="M143" s="29">
        <v>2</v>
      </c>
      <c r="N143" s="23">
        <v>2</v>
      </c>
      <c r="O143" s="8" t="s">
        <v>18</v>
      </c>
      <c r="P143" s="9" t="s">
        <v>18</v>
      </c>
      <c r="Q143" s="20">
        <v>2</v>
      </c>
      <c r="R143" s="23">
        <v>2</v>
      </c>
      <c r="S143" s="8" t="s">
        <v>18</v>
      </c>
      <c r="T143" s="9" t="s">
        <v>18</v>
      </c>
      <c r="U143" s="60">
        <f t="shared" si="28"/>
        <v>2</v>
      </c>
      <c r="V143" s="44">
        <f>IF($A137=TRUE,U143*$I137,0)</f>
        <v>14</v>
      </c>
      <c r="W143" s="1" t="s">
        <v>6</v>
      </c>
      <c r="X143" s="29">
        <v>2</v>
      </c>
      <c r="Y143" s="23">
        <v>2</v>
      </c>
      <c r="Z143" s="8" t="s">
        <v>18</v>
      </c>
      <c r="AA143" s="9" t="s">
        <v>18</v>
      </c>
      <c r="AB143" s="20">
        <v>2</v>
      </c>
      <c r="AC143" s="23">
        <v>2</v>
      </c>
      <c r="AD143" s="8" t="s">
        <v>18</v>
      </c>
      <c r="AE143" s="9" t="s">
        <v>18</v>
      </c>
      <c r="AF143" s="60">
        <f t="shared" si="29"/>
        <v>2</v>
      </c>
      <c r="AG143" s="44">
        <f>IF($A137=TRUE,AF143*$I137,0)</f>
        <v>14</v>
      </c>
      <c r="AH143" s="1" t="s">
        <v>6</v>
      </c>
      <c r="AI143" s="29">
        <v>2</v>
      </c>
      <c r="AJ143" s="23">
        <v>2</v>
      </c>
      <c r="AK143" s="8" t="s">
        <v>18</v>
      </c>
      <c r="AL143" s="9" t="s">
        <v>18</v>
      </c>
      <c r="AM143" s="20">
        <v>2</v>
      </c>
      <c r="AN143" s="23">
        <v>2</v>
      </c>
      <c r="AO143" s="8" t="s">
        <v>18</v>
      </c>
      <c r="AP143" s="9" t="s">
        <v>18</v>
      </c>
      <c r="AQ143" s="60">
        <f t="shared" si="30"/>
        <v>2</v>
      </c>
      <c r="AR143" s="44">
        <f>IF($A137=TRUE,AQ143*$I137,0)</f>
        <v>14</v>
      </c>
      <c r="AS143" s="1" t="s">
        <v>6</v>
      </c>
      <c r="AT143" s="8" t="s">
        <v>18</v>
      </c>
      <c r="AU143" s="9" t="s">
        <v>18</v>
      </c>
      <c r="AV143" s="8" t="s">
        <v>18</v>
      </c>
      <c r="AW143" s="9" t="s">
        <v>18</v>
      </c>
      <c r="AX143" s="8" t="s">
        <v>18</v>
      </c>
      <c r="AY143" s="9" t="s">
        <v>18</v>
      </c>
      <c r="AZ143" s="8" t="s">
        <v>18</v>
      </c>
      <c r="BA143" s="9" t="s">
        <v>18</v>
      </c>
      <c r="BB143" s="60">
        <f t="shared" si="31"/>
        <v>0</v>
      </c>
      <c r="BC143" s="44">
        <f>IF($A137=TRUE,BB143*$I137,0)</f>
        <v>0</v>
      </c>
    </row>
    <row r="144" spans="1:61" x14ac:dyDescent="0.3">
      <c r="A144" s="1" t="s">
        <v>1</v>
      </c>
      <c r="B144" s="8" t="s">
        <v>18</v>
      </c>
      <c r="C144" s="9" t="s">
        <v>18</v>
      </c>
      <c r="D144" s="8" t="s">
        <v>18</v>
      </c>
      <c r="E144" s="9" t="s">
        <v>18</v>
      </c>
      <c r="F144" s="8" t="s">
        <v>18</v>
      </c>
      <c r="G144" s="9" t="s">
        <v>18</v>
      </c>
      <c r="H144" s="21">
        <v>5</v>
      </c>
      <c r="I144" s="26">
        <v>5</v>
      </c>
      <c r="J144" s="60">
        <f t="shared" si="23"/>
        <v>5</v>
      </c>
      <c r="K144" s="44">
        <f>IF(A137=TRUE,J144*I137,0)</f>
        <v>35</v>
      </c>
      <c r="L144" s="1" t="s">
        <v>1</v>
      </c>
      <c r="M144" s="8" t="s">
        <v>18</v>
      </c>
      <c r="N144" s="9" t="s">
        <v>18</v>
      </c>
      <c r="O144" s="8" t="s">
        <v>18</v>
      </c>
      <c r="P144" s="9" t="s">
        <v>18</v>
      </c>
      <c r="Q144" s="8" t="s">
        <v>18</v>
      </c>
      <c r="R144" s="9" t="s">
        <v>18</v>
      </c>
      <c r="S144" s="21">
        <v>5</v>
      </c>
      <c r="T144" s="26">
        <v>5</v>
      </c>
      <c r="U144" s="60">
        <f t="shared" si="28"/>
        <v>5</v>
      </c>
      <c r="V144" s="44">
        <f>IF($A137=TRUE,U144*$I137,0)</f>
        <v>35</v>
      </c>
      <c r="W144" s="1" t="s">
        <v>1</v>
      </c>
      <c r="X144" s="8" t="s">
        <v>18</v>
      </c>
      <c r="Y144" s="9" t="s">
        <v>18</v>
      </c>
      <c r="Z144" s="8" t="s">
        <v>18</v>
      </c>
      <c r="AA144" s="9" t="s">
        <v>18</v>
      </c>
      <c r="AB144" s="8" t="s">
        <v>18</v>
      </c>
      <c r="AC144" s="9" t="s">
        <v>18</v>
      </c>
      <c r="AD144" s="21">
        <v>5</v>
      </c>
      <c r="AE144" s="26">
        <v>5</v>
      </c>
      <c r="AF144" s="60">
        <f t="shared" si="29"/>
        <v>5</v>
      </c>
      <c r="AG144" s="44">
        <f>IF($A137=TRUE,AF144*$I137,0)</f>
        <v>35</v>
      </c>
      <c r="AH144" s="1" t="s">
        <v>1</v>
      </c>
      <c r="AI144" s="8" t="s">
        <v>18</v>
      </c>
      <c r="AJ144" s="9" t="s">
        <v>18</v>
      </c>
      <c r="AK144" s="8" t="s">
        <v>18</v>
      </c>
      <c r="AL144" s="9" t="s">
        <v>18</v>
      </c>
      <c r="AM144" s="8" t="s">
        <v>18</v>
      </c>
      <c r="AN144" s="9" t="s">
        <v>18</v>
      </c>
      <c r="AO144" s="21">
        <v>5</v>
      </c>
      <c r="AP144" s="26">
        <v>5</v>
      </c>
      <c r="AQ144" s="60">
        <f t="shared" si="30"/>
        <v>5</v>
      </c>
      <c r="AR144" s="44">
        <f>IF($A137=TRUE,AQ144*$I137,0)</f>
        <v>35</v>
      </c>
      <c r="AS144" s="1" t="s">
        <v>1</v>
      </c>
      <c r="AT144" s="8" t="s">
        <v>18</v>
      </c>
      <c r="AU144" s="9" t="s">
        <v>18</v>
      </c>
      <c r="AV144" s="8" t="s">
        <v>18</v>
      </c>
      <c r="AW144" s="9" t="s">
        <v>18</v>
      </c>
      <c r="AX144" s="8" t="s">
        <v>18</v>
      </c>
      <c r="AY144" s="9" t="s">
        <v>18</v>
      </c>
      <c r="AZ144" s="8" t="s">
        <v>18</v>
      </c>
      <c r="BA144" s="9" t="s">
        <v>18</v>
      </c>
      <c r="BB144" s="60">
        <f t="shared" si="31"/>
        <v>0</v>
      </c>
      <c r="BC144" s="44">
        <f>IF($A137=TRUE,BB144*$I137,0)</f>
        <v>0</v>
      </c>
    </row>
    <row r="145" spans="1:55" x14ac:dyDescent="0.3">
      <c r="A145" s="1" t="s">
        <v>16</v>
      </c>
      <c r="B145" s="8" t="s">
        <v>18</v>
      </c>
      <c r="C145" s="9" t="s">
        <v>18</v>
      </c>
      <c r="D145" s="8" t="s">
        <v>18</v>
      </c>
      <c r="E145" s="9" t="s">
        <v>18</v>
      </c>
      <c r="F145" s="8" t="s">
        <v>18</v>
      </c>
      <c r="G145" s="26">
        <v>5</v>
      </c>
      <c r="H145" s="8" t="s">
        <v>18</v>
      </c>
      <c r="I145" s="26">
        <v>5</v>
      </c>
      <c r="J145" s="60">
        <f t="shared" si="23"/>
        <v>5</v>
      </c>
      <c r="K145" s="44">
        <f>IF(A137=TRUE,J145*I137,0)</f>
        <v>35</v>
      </c>
      <c r="L145" s="1" t="s">
        <v>16</v>
      </c>
      <c r="M145" s="8" t="s">
        <v>18</v>
      </c>
      <c r="N145" s="9" t="s">
        <v>18</v>
      </c>
      <c r="O145" s="8" t="s">
        <v>18</v>
      </c>
      <c r="P145" s="9" t="s">
        <v>18</v>
      </c>
      <c r="Q145" s="8" t="s">
        <v>18</v>
      </c>
      <c r="R145" s="26">
        <v>5</v>
      </c>
      <c r="S145" s="8" t="s">
        <v>18</v>
      </c>
      <c r="T145" s="26">
        <v>5</v>
      </c>
      <c r="U145" s="60">
        <f t="shared" si="28"/>
        <v>5</v>
      </c>
      <c r="V145" s="44">
        <f>IF($A137=TRUE,U145*$I137,0)</f>
        <v>35</v>
      </c>
      <c r="W145" s="1" t="s">
        <v>16</v>
      </c>
      <c r="X145" s="8" t="s">
        <v>18</v>
      </c>
      <c r="Y145" s="9" t="s">
        <v>18</v>
      </c>
      <c r="Z145" s="8" t="s">
        <v>18</v>
      </c>
      <c r="AA145" s="9" t="s">
        <v>18</v>
      </c>
      <c r="AB145" s="8" t="s">
        <v>18</v>
      </c>
      <c r="AC145" s="26">
        <v>5</v>
      </c>
      <c r="AD145" s="8" t="s">
        <v>18</v>
      </c>
      <c r="AE145" s="26">
        <v>5</v>
      </c>
      <c r="AF145" s="60">
        <f t="shared" si="29"/>
        <v>5</v>
      </c>
      <c r="AG145" s="44">
        <f>IF($A137=TRUE,AF145*$I137,0)</f>
        <v>35</v>
      </c>
      <c r="AH145" s="1" t="s">
        <v>16</v>
      </c>
      <c r="AI145" s="8" t="s">
        <v>18</v>
      </c>
      <c r="AJ145" s="9" t="s">
        <v>18</v>
      </c>
      <c r="AK145" s="8" t="s">
        <v>18</v>
      </c>
      <c r="AL145" s="9" t="s">
        <v>18</v>
      </c>
      <c r="AM145" s="8" t="s">
        <v>18</v>
      </c>
      <c r="AN145" s="26">
        <v>5</v>
      </c>
      <c r="AO145" s="27">
        <v>5</v>
      </c>
      <c r="AP145" s="26">
        <v>5</v>
      </c>
      <c r="AQ145" s="60">
        <f t="shared" si="30"/>
        <v>5</v>
      </c>
      <c r="AR145" s="44">
        <f>IF($A137=TRUE,AQ145*$I137,0)</f>
        <v>35</v>
      </c>
      <c r="AS145" s="1" t="s">
        <v>16</v>
      </c>
      <c r="AT145" s="8" t="s">
        <v>18</v>
      </c>
      <c r="AU145" s="9" t="s">
        <v>18</v>
      </c>
      <c r="AV145" s="8" t="s">
        <v>18</v>
      </c>
      <c r="AW145" s="9" t="s">
        <v>18</v>
      </c>
      <c r="AX145" s="8" t="s">
        <v>18</v>
      </c>
      <c r="AY145" s="9" t="s">
        <v>18</v>
      </c>
      <c r="AZ145" s="8" t="s">
        <v>18</v>
      </c>
      <c r="BA145" s="9" t="s">
        <v>18</v>
      </c>
      <c r="BB145" s="60">
        <f t="shared" si="31"/>
        <v>0</v>
      </c>
      <c r="BC145" s="44">
        <f>IF($A137=TRUE,BB145*$I137,0)</f>
        <v>0</v>
      </c>
    </row>
    <row r="146" spans="1:55" x14ac:dyDescent="0.3">
      <c r="A146" s="1" t="s">
        <v>17</v>
      </c>
      <c r="B146" s="8" t="s">
        <v>18</v>
      </c>
      <c r="C146" s="9" t="s">
        <v>18</v>
      </c>
      <c r="D146" s="27">
        <v>5</v>
      </c>
      <c r="E146" s="26">
        <v>5</v>
      </c>
      <c r="F146" s="8" t="s">
        <v>18</v>
      </c>
      <c r="G146" s="9" t="s">
        <v>18</v>
      </c>
      <c r="H146" s="27">
        <v>5</v>
      </c>
      <c r="I146" s="26">
        <v>5</v>
      </c>
      <c r="J146" s="60">
        <f t="shared" si="23"/>
        <v>5</v>
      </c>
      <c r="K146" s="44">
        <f>IF(A137=TRUE,J146*I137,0)</f>
        <v>35</v>
      </c>
      <c r="L146" s="1" t="s">
        <v>17</v>
      </c>
      <c r="M146" s="8" t="s">
        <v>18</v>
      </c>
      <c r="N146" s="9" t="s">
        <v>18</v>
      </c>
      <c r="O146" s="27">
        <v>5</v>
      </c>
      <c r="P146" s="26">
        <v>5</v>
      </c>
      <c r="Q146" s="8" t="s">
        <v>18</v>
      </c>
      <c r="R146" s="9" t="s">
        <v>18</v>
      </c>
      <c r="S146" s="27">
        <v>5</v>
      </c>
      <c r="T146" s="26">
        <v>5</v>
      </c>
      <c r="U146" s="60">
        <f t="shared" si="28"/>
        <v>5</v>
      </c>
      <c r="V146" s="44">
        <f>IF($A137=TRUE,U146*$I137,0)</f>
        <v>35</v>
      </c>
      <c r="W146" s="1" t="s">
        <v>17</v>
      </c>
      <c r="X146" s="8" t="s">
        <v>18</v>
      </c>
      <c r="Y146" s="9" t="s">
        <v>18</v>
      </c>
      <c r="Z146" s="27">
        <v>5</v>
      </c>
      <c r="AA146" s="26">
        <v>5</v>
      </c>
      <c r="AB146" s="8" t="s">
        <v>18</v>
      </c>
      <c r="AC146" s="9" t="s">
        <v>18</v>
      </c>
      <c r="AD146" s="27">
        <v>5</v>
      </c>
      <c r="AE146" s="26">
        <v>5</v>
      </c>
      <c r="AF146" s="60">
        <f t="shared" si="29"/>
        <v>5</v>
      </c>
      <c r="AG146" s="44">
        <f>IF($A137=TRUE,AF146*$I137,0)</f>
        <v>35</v>
      </c>
      <c r="AH146" s="1" t="s">
        <v>17</v>
      </c>
      <c r="AI146" s="8" t="s">
        <v>18</v>
      </c>
      <c r="AJ146" s="9" t="s">
        <v>18</v>
      </c>
      <c r="AK146" s="27">
        <v>5</v>
      </c>
      <c r="AL146" s="26">
        <v>5</v>
      </c>
      <c r="AM146" s="8" t="s">
        <v>18</v>
      </c>
      <c r="AN146" s="9" t="s">
        <v>18</v>
      </c>
      <c r="AO146" s="27">
        <v>5</v>
      </c>
      <c r="AP146" s="26">
        <v>5</v>
      </c>
      <c r="AQ146" s="60">
        <f t="shared" si="30"/>
        <v>5</v>
      </c>
      <c r="AR146" s="44">
        <f>IF($A137=TRUE,AQ146*$I137,0)</f>
        <v>35</v>
      </c>
      <c r="AS146" s="1" t="s">
        <v>17</v>
      </c>
      <c r="AT146" s="8" t="s">
        <v>18</v>
      </c>
      <c r="AU146" s="9" t="s">
        <v>18</v>
      </c>
      <c r="AV146" s="27">
        <v>5</v>
      </c>
      <c r="AW146" s="26">
        <v>5</v>
      </c>
      <c r="AX146" s="8" t="s">
        <v>18</v>
      </c>
      <c r="AY146" s="9" t="s">
        <v>18</v>
      </c>
      <c r="AZ146" s="27">
        <v>5</v>
      </c>
      <c r="BA146" s="26">
        <v>5</v>
      </c>
      <c r="BB146" s="60">
        <f t="shared" si="31"/>
        <v>5</v>
      </c>
      <c r="BC146" s="44">
        <f>IF($A137=TRUE,BB146*$I137,0)</f>
        <v>35</v>
      </c>
    </row>
    <row r="147" spans="1:55" x14ac:dyDescent="0.3">
      <c r="A147" s="1" t="s">
        <v>2</v>
      </c>
      <c r="B147" s="24">
        <v>1</v>
      </c>
      <c r="C147" s="22">
        <v>1</v>
      </c>
      <c r="D147" s="8" t="s">
        <v>18</v>
      </c>
      <c r="E147" s="9" t="s">
        <v>18</v>
      </c>
      <c r="F147" s="24">
        <v>1</v>
      </c>
      <c r="G147" s="22">
        <v>1</v>
      </c>
      <c r="H147" s="8" t="s">
        <v>18</v>
      </c>
      <c r="I147" s="9" t="s">
        <v>18</v>
      </c>
      <c r="J147" s="60">
        <f t="shared" si="23"/>
        <v>1</v>
      </c>
      <c r="K147" s="44">
        <f>IF(A137=TRUE,J147*I137,0)</f>
        <v>7</v>
      </c>
      <c r="L147" s="1" t="s">
        <v>2</v>
      </c>
      <c r="M147" s="24">
        <v>1</v>
      </c>
      <c r="N147" s="22">
        <v>1</v>
      </c>
      <c r="O147" s="8" t="s">
        <v>18</v>
      </c>
      <c r="P147" s="9" t="s">
        <v>18</v>
      </c>
      <c r="Q147" s="24">
        <v>1</v>
      </c>
      <c r="R147" s="22">
        <v>1</v>
      </c>
      <c r="S147" s="8" t="s">
        <v>18</v>
      </c>
      <c r="T147" s="9" t="s">
        <v>18</v>
      </c>
      <c r="U147" s="60">
        <f t="shared" si="28"/>
        <v>1</v>
      </c>
      <c r="V147" s="44">
        <f>IF($A137=TRUE,U147*$I137,0)</f>
        <v>7</v>
      </c>
      <c r="W147" s="1" t="s">
        <v>2</v>
      </c>
      <c r="X147" s="24">
        <v>1</v>
      </c>
      <c r="Y147" s="22">
        <v>1</v>
      </c>
      <c r="Z147" s="8" t="s">
        <v>18</v>
      </c>
      <c r="AA147" s="9" t="s">
        <v>18</v>
      </c>
      <c r="AB147" s="24">
        <v>1</v>
      </c>
      <c r="AC147" s="22">
        <v>1</v>
      </c>
      <c r="AD147" s="8" t="s">
        <v>18</v>
      </c>
      <c r="AE147" s="9" t="s">
        <v>18</v>
      </c>
      <c r="AF147" s="60">
        <f t="shared" si="29"/>
        <v>1</v>
      </c>
      <c r="AG147" s="44">
        <f>IF($A137=TRUE,AF147*$I137,0)</f>
        <v>7</v>
      </c>
      <c r="AH147" s="1" t="s">
        <v>2</v>
      </c>
      <c r="AI147" s="24">
        <v>1</v>
      </c>
      <c r="AJ147" s="22">
        <v>1</v>
      </c>
      <c r="AK147" s="8" t="s">
        <v>18</v>
      </c>
      <c r="AL147" s="9" t="s">
        <v>18</v>
      </c>
      <c r="AM147" s="24">
        <v>1</v>
      </c>
      <c r="AN147" s="22">
        <v>1</v>
      </c>
      <c r="AO147" s="8" t="s">
        <v>18</v>
      </c>
      <c r="AP147" s="9" t="s">
        <v>18</v>
      </c>
      <c r="AQ147" s="60">
        <f t="shared" si="30"/>
        <v>1</v>
      </c>
      <c r="AR147" s="44">
        <f>IF($A137=TRUE,AQ147*$I137,0)</f>
        <v>7</v>
      </c>
      <c r="AS147" s="1" t="s">
        <v>2</v>
      </c>
      <c r="AT147" s="8" t="s">
        <v>18</v>
      </c>
      <c r="AU147" s="9" t="s">
        <v>18</v>
      </c>
      <c r="AV147" s="8" t="s">
        <v>18</v>
      </c>
      <c r="AW147" s="9" t="s">
        <v>18</v>
      </c>
      <c r="AX147" s="8" t="s">
        <v>18</v>
      </c>
      <c r="AY147" s="9" t="s">
        <v>18</v>
      </c>
      <c r="AZ147" s="8" t="s">
        <v>18</v>
      </c>
      <c r="BA147" s="9" t="s">
        <v>18</v>
      </c>
      <c r="BB147" s="60">
        <f t="shared" si="31"/>
        <v>0</v>
      </c>
      <c r="BC147" s="44">
        <f>IF($A137=TRUE,BB147*$I137,0)</f>
        <v>0</v>
      </c>
    </row>
    <row r="148" spans="1:55" x14ac:dyDescent="0.3">
      <c r="A148" s="1" t="s">
        <v>20</v>
      </c>
      <c r="B148" s="8" t="s">
        <v>18</v>
      </c>
      <c r="C148" s="9" t="s">
        <v>18</v>
      </c>
      <c r="D148" s="21">
        <v>5</v>
      </c>
      <c r="E148" s="26">
        <v>5</v>
      </c>
      <c r="F148" s="8" t="s">
        <v>18</v>
      </c>
      <c r="G148" s="9" t="s">
        <v>18</v>
      </c>
      <c r="H148" s="8" t="s">
        <v>18</v>
      </c>
      <c r="I148" s="26">
        <v>5</v>
      </c>
      <c r="J148" s="60">
        <f t="shared" si="23"/>
        <v>5</v>
      </c>
      <c r="K148" s="44">
        <f>IF(A137=TRUE,J148*I137,0)</f>
        <v>35</v>
      </c>
      <c r="L148" s="1" t="s">
        <v>20</v>
      </c>
      <c r="M148" s="8" t="s">
        <v>18</v>
      </c>
      <c r="N148" s="9" t="s">
        <v>18</v>
      </c>
      <c r="O148" s="21">
        <v>5</v>
      </c>
      <c r="P148" s="26">
        <v>5</v>
      </c>
      <c r="Q148" s="8" t="s">
        <v>18</v>
      </c>
      <c r="R148" s="9" t="s">
        <v>18</v>
      </c>
      <c r="S148" s="8" t="s">
        <v>18</v>
      </c>
      <c r="T148" s="26">
        <v>5</v>
      </c>
      <c r="U148" s="60">
        <f t="shared" si="28"/>
        <v>5</v>
      </c>
      <c r="V148" s="44">
        <f>IF($A137=TRUE,U148*$I137,0)</f>
        <v>35</v>
      </c>
      <c r="W148" s="1" t="s">
        <v>20</v>
      </c>
      <c r="X148" s="8" t="s">
        <v>18</v>
      </c>
      <c r="Y148" s="9" t="s">
        <v>18</v>
      </c>
      <c r="Z148" s="21">
        <v>5</v>
      </c>
      <c r="AA148" s="26">
        <v>5</v>
      </c>
      <c r="AB148" s="8" t="s">
        <v>18</v>
      </c>
      <c r="AC148" s="9" t="s">
        <v>18</v>
      </c>
      <c r="AD148" s="8" t="s">
        <v>18</v>
      </c>
      <c r="AE148" s="26">
        <v>5</v>
      </c>
      <c r="AF148" s="60">
        <f t="shared" si="29"/>
        <v>5</v>
      </c>
      <c r="AG148" s="44">
        <f>IF($A137=TRUE,AF148*$I137,0)</f>
        <v>35</v>
      </c>
      <c r="AH148" s="1" t="s">
        <v>20</v>
      </c>
      <c r="AI148" s="8" t="s">
        <v>18</v>
      </c>
      <c r="AJ148" s="9" t="s">
        <v>18</v>
      </c>
      <c r="AK148" s="21">
        <v>5</v>
      </c>
      <c r="AL148" s="26">
        <v>5</v>
      </c>
      <c r="AM148" s="8" t="s">
        <v>18</v>
      </c>
      <c r="AN148" s="9" t="s">
        <v>18</v>
      </c>
      <c r="AO148" s="8" t="s">
        <v>18</v>
      </c>
      <c r="AP148" s="26">
        <v>5</v>
      </c>
      <c r="AQ148" s="60">
        <f t="shared" si="30"/>
        <v>5</v>
      </c>
      <c r="AR148" s="44">
        <f>IF($A137=TRUE,AQ148*$I137,0)</f>
        <v>35</v>
      </c>
      <c r="AS148" s="1" t="s">
        <v>20</v>
      </c>
      <c r="AT148" s="8" t="s">
        <v>18</v>
      </c>
      <c r="AU148" s="9" t="s">
        <v>18</v>
      </c>
      <c r="AV148" s="8" t="s">
        <v>18</v>
      </c>
      <c r="AW148" s="9" t="s">
        <v>18</v>
      </c>
      <c r="AX148" s="8" t="s">
        <v>18</v>
      </c>
      <c r="AY148" s="9" t="s">
        <v>18</v>
      </c>
      <c r="AZ148" s="8" t="s">
        <v>18</v>
      </c>
      <c r="BA148" s="9" t="s">
        <v>18</v>
      </c>
      <c r="BB148" s="60">
        <f t="shared" si="31"/>
        <v>0</v>
      </c>
      <c r="BC148" s="44">
        <f>IF($A137=TRUE,BB148*$I137,0)</f>
        <v>0</v>
      </c>
    </row>
    <row r="149" spans="1:55" x14ac:dyDescent="0.3">
      <c r="A149" s="1" t="s">
        <v>3</v>
      </c>
      <c r="B149" s="8" t="s">
        <v>18</v>
      </c>
      <c r="C149" s="9" t="s">
        <v>18</v>
      </c>
      <c r="D149" s="21">
        <v>5</v>
      </c>
      <c r="E149" s="26">
        <v>5</v>
      </c>
      <c r="F149" s="8" t="s">
        <v>18</v>
      </c>
      <c r="G149" s="9" t="s">
        <v>18</v>
      </c>
      <c r="H149" s="8" t="s">
        <v>18</v>
      </c>
      <c r="I149" s="9" t="s">
        <v>18</v>
      </c>
      <c r="J149" s="60">
        <f t="shared" si="23"/>
        <v>5</v>
      </c>
      <c r="K149" s="44">
        <f>IF(A137=TRUE,J149*I137,0)</f>
        <v>35</v>
      </c>
      <c r="L149" s="1" t="s">
        <v>3</v>
      </c>
      <c r="M149" s="8" t="s">
        <v>18</v>
      </c>
      <c r="N149" s="9" t="s">
        <v>18</v>
      </c>
      <c r="O149" s="21">
        <v>5</v>
      </c>
      <c r="P149" s="26">
        <v>5</v>
      </c>
      <c r="Q149" s="8" t="s">
        <v>18</v>
      </c>
      <c r="R149" s="9" t="s">
        <v>18</v>
      </c>
      <c r="S149" s="8" t="s">
        <v>18</v>
      </c>
      <c r="T149" s="9" t="s">
        <v>18</v>
      </c>
      <c r="U149" s="60">
        <f t="shared" si="28"/>
        <v>5</v>
      </c>
      <c r="V149" s="44">
        <f>IF($A137=TRUE,U149*$I137,0)</f>
        <v>35</v>
      </c>
      <c r="W149" s="1" t="s">
        <v>3</v>
      </c>
      <c r="X149" s="8" t="s">
        <v>18</v>
      </c>
      <c r="Y149" s="9" t="s">
        <v>18</v>
      </c>
      <c r="Z149" s="21">
        <v>5</v>
      </c>
      <c r="AA149" s="26">
        <v>5</v>
      </c>
      <c r="AB149" s="8" t="s">
        <v>18</v>
      </c>
      <c r="AC149" s="9" t="s">
        <v>18</v>
      </c>
      <c r="AD149" s="8" t="s">
        <v>18</v>
      </c>
      <c r="AE149" s="9" t="s">
        <v>18</v>
      </c>
      <c r="AF149" s="60">
        <f t="shared" si="29"/>
        <v>5</v>
      </c>
      <c r="AG149" s="44">
        <f>IF($A137=TRUE,AF149*$I137,0)</f>
        <v>35</v>
      </c>
      <c r="AH149" s="1" t="s">
        <v>3</v>
      </c>
      <c r="AI149" s="8" t="s">
        <v>18</v>
      </c>
      <c r="AJ149" s="9" t="s">
        <v>18</v>
      </c>
      <c r="AK149" s="21">
        <v>5</v>
      </c>
      <c r="AL149" s="26">
        <v>5</v>
      </c>
      <c r="AM149" s="8" t="s">
        <v>18</v>
      </c>
      <c r="AN149" s="9" t="s">
        <v>18</v>
      </c>
      <c r="AO149" s="8" t="s">
        <v>18</v>
      </c>
      <c r="AP149" s="9" t="s">
        <v>18</v>
      </c>
      <c r="AQ149" s="60">
        <f t="shared" si="30"/>
        <v>5</v>
      </c>
      <c r="AR149" s="44">
        <f>IF($A137=TRUE,AQ149*$I137,0)</f>
        <v>35</v>
      </c>
      <c r="AS149" s="1" t="s">
        <v>3</v>
      </c>
      <c r="AT149" s="8" t="s">
        <v>18</v>
      </c>
      <c r="AU149" s="9" t="s">
        <v>18</v>
      </c>
      <c r="AV149" s="8" t="s">
        <v>18</v>
      </c>
      <c r="AW149" s="9" t="s">
        <v>18</v>
      </c>
      <c r="AX149" s="8" t="s">
        <v>18</v>
      </c>
      <c r="AY149" s="9" t="s">
        <v>18</v>
      </c>
      <c r="AZ149" s="27">
        <v>5</v>
      </c>
      <c r="BA149" s="26">
        <v>5</v>
      </c>
      <c r="BB149" s="60">
        <f t="shared" si="31"/>
        <v>5</v>
      </c>
      <c r="BC149" s="44">
        <f>IF($A137=TRUE,BB149*$I137,0)</f>
        <v>35</v>
      </c>
    </row>
    <row r="150" spans="1:55" x14ac:dyDescent="0.3">
      <c r="A150" s="13" t="s">
        <v>12</v>
      </c>
      <c r="B150" s="14" t="s">
        <v>18</v>
      </c>
      <c r="C150" s="15" t="s">
        <v>18</v>
      </c>
      <c r="D150" s="33">
        <v>5</v>
      </c>
      <c r="E150" s="34">
        <v>5</v>
      </c>
      <c r="F150" s="14" t="s">
        <v>18</v>
      </c>
      <c r="G150" s="15" t="s">
        <v>18</v>
      </c>
      <c r="H150" s="14" t="s">
        <v>18</v>
      </c>
      <c r="I150" s="15" t="s">
        <v>18</v>
      </c>
      <c r="J150" s="60">
        <f t="shared" si="23"/>
        <v>5</v>
      </c>
      <c r="K150" s="44">
        <f>IF(A137=TRUE,J150*I137,0)</f>
        <v>35</v>
      </c>
      <c r="L150" s="13" t="s">
        <v>12</v>
      </c>
      <c r="M150" s="14" t="s">
        <v>18</v>
      </c>
      <c r="N150" s="15" t="s">
        <v>18</v>
      </c>
      <c r="O150" s="33">
        <v>5</v>
      </c>
      <c r="P150" s="34">
        <v>5</v>
      </c>
      <c r="Q150" s="14" t="s">
        <v>18</v>
      </c>
      <c r="R150" s="15" t="s">
        <v>18</v>
      </c>
      <c r="S150" s="14" t="s">
        <v>18</v>
      </c>
      <c r="T150" s="15" t="s">
        <v>18</v>
      </c>
      <c r="U150" s="60">
        <f t="shared" si="28"/>
        <v>5</v>
      </c>
      <c r="V150" s="44">
        <f>IF($A137=TRUE,U150*$I137,0)</f>
        <v>35</v>
      </c>
      <c r="W150" s="13" t="s">
        <v>12</v>
      </c>
      <c r="X150" s="14" t="s">
        <v>18</v>
      </c>
      <c r="Y150" s="15" t="s">
        <v>18</v>
      </c>
      <c r="Z150" s="33">
        <v>5</v>
      </c>
      <c r="AA150" s="34">
        <v>5</v>
      </c>
      <c r="AB150" s="14" t="s">
        <v>18</v>
      </c>
      <c r="AC150" s="15" t="s">
        <v>18</v>
      </c>
      <c r="AD150" s="14" t="s">
        <v>18</v>
      </c>
      <c r="AE150" s="15" t="s">
        <v>18</v>
      </c>
      <c r="AF150" s="60">
        <f t="shared" si="29"/>
        <v>5</v>
      </c>
      <c r="AG150" s="44">
        <f>IF($A137=TRUE,AF150*$I137,0)</f>
        <v>35</v>
      </c>
      <c r="AH150" s="13" t="s">
        <v>12</v>
      </c>
      <c r="AI150" s="14" t="s">
        <v>18</v>
      </c>
      <c r="AJ150" s="15" t="s">
        <v>18</v>
      </c>
      <c r="AK150" s="33">
        <v>5</v>
      </c>
      <c r="AL150" s="34">
        <v>5</v>
      </c>
      <c r="AM150" s="14" t="s">
        <v>18</v>
      </c>
      <c r="AN150" s="15" t="s">
        <v>18</v>
      </c>
      <c r="AO150" s="14" t="s">
        <v>18</v>
      </c>
      <c r="AP150" s="15" t="s">
        <v>18</v>
      </c>
      <c r="AQ150" s="60">
        <f t="shared" si="30"/>
        <v>5</v>
      </c>
      <c r="AR150" s="44">
        <f>IF($A137=TRUE,AQ150*$I137,0)</f>
        <v>35</v>
      </c>
      <c r="AS150" s="13" t="s">
        <v>12</v>
      </c>
      <c r="AT150" s="14" t="s">
        <v>18</v>
      </c>
      <c r="AU150" s="15" t="s">
        <v>18</v>
      </c>
      <c r="AV150" s="53">
        <v>5</v>
      </c>
      <c r="AW150" s="53">
        <v>5</v>
      </c>
      <c r="AX150" s="14" t="s">
        <v>18</v>
      </c>
      <c r="AY150" s="15" t="s">
        <v>18</v>
      </c>
      <c r="AZ150" s="27">
        <v>5</v>
      </c>
      <c r="BA150" s="26">
        <v>5</v>
      </c>
      <c r="BB150" s="60">
        <f t="shared" si="31"/>
        <v>5</v>
      </c>
      <c r="BC150" s="44">
        <f>IF($A137=TRUE,BB150*$I137,0)</f>
        <v>35</v>
      </c>
    </row>
    <row r="151" spans="1:55" x14ac:dyDescent="0.3">
      <c r="J151" s="60"/>
    </row>
    <row r="152" spans="1:55" x14ac:dyDescent="0.3">
      <c r="A152" s="4" t="s">
        <v>19</v>
      </c>
      <c r="B152" s="2"/>
      <c r="C152" s="2"/>
      <c r="D152" s="2"/>
      <c r="E152" s="2"/>
      <c r="F152" s="2"/>
      <c r="G152" s="2"/>
      <c r="H152" s="2"/>
      <c r="I152" s="2" t="s">
        <v>26</v>
      </c>
      <c r="J152" s="60"/>
    </row>
    <row r="153" spans="1:55" x14ac:dyDescent="0.3">
      <c r="A153" s="2" t="b">
        <v>0</v>
      </c>
      <c r="B153" s="2"/>
      <c r="C153" s="2"/>
      <c r="D153" s="2"/>
      <c r="E153" s="2"/>
      <c r="F153" s="2"/>
      <c r="G153" s="2"/>
      <c r="H153" s="2"/>
      <c r="I153" s="2">
        <f>F21</f>
        <v>0</v>
      </c>
      <c r="J153" s="60"/>
    </row>
    <row r="154" spans="1:55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60"/>
    </row>
    <row r="155" spans="1:55" x14ac:dyDescent="0.3">
      <c r="A155" s="10" t="s">
        <v>14</v>
      </c>
      <c r="B155" s="85" t="s">
        <v>7</v>
      </c>
      <c r="C155" s="86"/>
      <c r="D155" s="85" t="s">
        <v>10</v>
      </c>
      <c r="E155" s="86"/>
      <c r="F155" s="87" t="s">
        <v>11</v>
      </c>
      <c r="G155" s="86"/>
      <c r="H155" s="85" t="s">
        <v>13</v>
      </c>
      <c r="I155" s="86"/>
      <c r="J155" s="60"/>
      <c r="L155" s="10" t="s">
        <v>14</v>
      </c>
      <c r="M155" s="85" t="s">
        <v>7</v>
      </c>
      <c r="N155" s="86"/>
      <c r="O155" s="85" t="s">
        <v>10</v>
      </c>
      <c r="P155" s="86"/>
      <c r="Q155" s="87" t="s">
        <v>11</v>
      </c>
      <c r="R155" s="86"/>
      <c r="S155" s="85" t="s">
        <v>13</v>
      </c>
      <c r="T155" s="86"/>
      <c r="W155" s="10" t="s">
        <v>14</v>
      </c>
      <c r="X155" s="85" t="s">
        <v>7</v>
      </c>
      <c r="Y155" s="86"/>
      <c r="Z155" s="85" t="s">
        <v>10</v>
      </c>
      <c r="AA155" s="86"/>
      <c r="AB155" s="87" t="s">
        <v>11</v>
      </c>
      <c r="AC155" s="86"/>
      <c r="AD155" s="85" t="s">
        <v>13</v>
      </c>
      <c r="AE155" s="86"/>
      <c r="AH155" s="10" t="s">
        <v>14</v>
      </c>
      <c r="AI155" s="85" t="s">
        <v>7</v>
      </c>
      <c r="AJ155" s="86"/>
      <c r="AK155" s="85" t="s">
        <v>10</v>
      </c>
      <c r="AL155" s="86"/>
      <c r="AM155" s="87" t="s">
        <v>11</v>
      </c>
      <c r="AN155" s="86"/>
      <c r="AO155" s="85" t="s">
        <v>13</v>
      </c>
      <c r="AP155" s="86"/>
      <c r="AS155" s="10" t="s">
        <v>14</v>
      </c>
      <c r="AT155" s="85" t="s">
        <v>7</v>
      </c>
      <c r="AU155" s="86"/>
      <c r="AV155" s="85" t="s">
        <v>10</v>
      </c>
      <c r="AW155" s="86"/>
      <c r="AX155" s="87" t="s">
        <v>11</v>
      </c>
      <c r="AY155" s="86"/>
      <c r="AZ155" s="85" t="s">
        <v>13</v>
      </c>
      <c r="BA155" s="86"/>
    </row>
    <row r="156" spans="1:55" ht="15" thickBot="1" x14ac:dyDescent="0.35">
      <c r="A156" s="11" t="s">
        <v>0</v>
      </c>
      <c r="B156" s="5" t="s">
        <v>8</v>
      </c>
      <c r="C156" s="6" t="s">
        <v>9</v>
      </c>
      <c r="D156" s="7" t="s">
        <v>8</v>
      </c>
      <c r="E156" s="6" t="s">
        <v>9</v>
      </c>
      <c r="F156" s="7" t="s">
        <v>8</v>
      </c>
      <c r="G156" s="6" t="s">
        <v>9</v>
      </c>
      <c r="H156" s="7" t="s">
        <v>8</v>
      </c>
      <c r="I156" s="6" t="s">
        <v>9</v>
      </c>
      <c r="J156" s="60"/>
      <c r="L156" s="11" t="s">
        <v>0</v>
      </c>
      <c r="M156" s="5" t="s">
        <v>8</v>
      </c>
      <c r="N156" s="6" t="s">
        <v>9</v>
      </c>
      <c r="O156" s="7" t="s">
        <v>8</v>
      </c>
      <c r="P156" s="6" t="s">
        <v>9</v>
      </c>
      <c r="Q156" s="7" t="s">
        <v>8</v>
      </c>
      <c r="R156" s="6" t="s">
        <v>9</v>
      </c>
      <c r="S156" s="7" t="s">
        <v>8</v>
      </c>
      <c r="T156" s="6" t="s">
        <v>9</v>
      </c>
      <c r="W156" s="11" t="s">
        <v>0</v>
      </c>
      <c r="X156" s="5" t="s">
        <v>8</v>
      </c>
      <c r="Y156" s="6" t="s">
        <v>9</v>
      </c>
      <c r="Z156" s="7" t="s">
        <v>8</v>
      </c>
      <c r="AA156" s="6" t="s">
        <v>9</v>
      </c>
      <c r="AB156" s="7" t="s">
        <v>8</v>
      </c>
      <c r="AC156" s="6" t="s">
        <v>9</v>
      </c>
      <c r="AD156" s="7" t="s">
        <v>8</v>
      </c>
      <c r="AE156" s="6" t="s">
        <v>9</v>
      </c>
      <c r="AH156" s="11" t="s">
        <v>0</v>
      </c>
      <c r="AI156" s="5" t="s">
        <v>8</v>
      </c>
      <c r="AJ156" s="6" t="s">
        <v>9</v>
      </c>
      <c r="AK156" s="7" t="s">
        <v>8</v>
      </c>
      <c r="AL156" s="6" t="s">
        <v>9</v>
      </c>
      <c r="AM156" s="7" t="s">
        <v>8</v>
      </c>
      <c r="AN156" s="6" t="s">
        <v>9</v>
      </c>
      <c r="AO156" s="7" t="s">
        <v>8</v>
      </c>
      <c r="AP156" s="6" t="s">
        <v>9</v>
      </c>
      <c r="AS156" s="11" t="s">
        <v>0</v>
      </c>
      <c r="AT156" s="5" t="s">
        <v>8</v>
      </c>
      <c r="AU156" s="6" t="s">
        <v>9</v>
      </c>
      <c r="AV156" s="7" t="s">
        <v>8</v>
      </c>
      <c r="AW156" s="6" t="s">
        <v>9</v>
      </c>
      <c r="AX156" s="7" t="s">
        <v>8</v>
      </c>
      <c r="AY156" s="6" t="s">
        <v>9</v>
      </c>
      <c r="AZ156" s="7" t="s">
        <v>8</v>
      </c>
      <c r="BA156" s="6" t="s">
        <v>9</v>
      </c>
    </row>
    <row r="157" spans="1:55" ht="15" thickTop="1" x14ac:dyDescent="0.3">
      <c r="A157" s="1" t="s">
        <v>4</v>
      </c>
      <c r="B157" s="21">
        <v>5</v>
      </c>
      <c r="C157" s="26">
        <v>5</v>
      </c>
      <c r="D157" s="21">
        <v>5</v>
      </c>
      <c r="E157" s="26">
        <v>5</v>
      </c>
      <c r="F157" s="24">
        <v>1</v>
      </c>
      <c r="G157" s="17">
        <v>4</v>
      </c>
      <c r="H157" s="8" t="s">
        <v>18</v>
      </c>
      <c r="I157" s="9" t="s">
        <v>18</v>
      </c>
      <c r="J157" s="60">
        <f t="shared" si="23"/>
        <v>5</v>
      </c>
      <c r="K157" s="44">
        <f>IF(A153=TRUE,J157*I153,0)</f>
        <v>0</v>
      </c>
      <c r="L157" s="1" t="s">
        <v>4</v>
      </c>
      <c r="M157" s="21">
        <v>5</v>
      </c>
      <c r="N157" s="26">
        <v>5</v>
      </c>
      <c r="O157" s="21">
        <v>5</v>
      </c>
      <c r="P157" s="26">
        <v>5</v>
      </c>
      <c r="Q157" s="24">
        <v>1</v>
      </c>
      <c r="R157" s="17">
        <v>4</v>
      </c>
      <c r="S157" s="8" t="s">
        <v>18</v>
      </c>
      <c r="T157" s="9" t="s">
        <v>18</v>
      </c>
      <c r="U157" s="60">
        <f>MAX(M157:T157)</f>
        <v>5</v>
      </c>
      <c r="V157" s="44">
        <f>IF($A153=TRUE,U157*$I153,0)</f>
        <v>0</v>
      </c>
      <c r="W157" s="1" t="s">
        <v>4</v>
      </c>
      <c r="X157" s="21">
        <v>5</v>
      </c>
      <c r="Y157" s="26">
        <v>5</v>
      </c>
      <c r="Z157" s="21">
        <v>5</v>
      </c>
      <c r="AA157" s="26">
        <v>5</v>
      </c>
      <c r="AB157" s="24">
        <v>1</v>
      </c>
      <c r="AC157" s="17">
        <v>4</v>
      </c>
      <c r="AD157" s="8" t="s">
        <v>18</v>
      </c>
      <c r="AE157" s="9" t="s">
        <v>18</v>
      </c>
      <c r="AF157" s="60">
        <f>MAX(X157:AE157)</f>
        <v>5</v>
      </c>
      <c r="AG157" s="44">
        <f>IF($A153=TRUE,AF157*$I153,0)</f>
        <v>0</v>
      </c>
      <c r="AH157" s="1" t="s">
        <v>4</v>
      </c>
      <c r="AI157" s="21">
        <v>5</v>
      </c>
      <c r="AJ157" s="26">
        <v>5</v>
      </c>
      <c r="AK157" s="21">
        <v>5</v>
      </c>
      <c r="AL157" s="26">
        <v>5</v>
      </c>
      <c r="AM157" s="24">
        <v>1</v>
      </c>
      <c r="AN157" s="17">
        <v>4</v>
      </c>
      <c r="AO157" s="8" t="s">
        <v>18</v>
      </c>
      <c r="AP157" s="9" t="s">
        <v>18</v>
      </c>
      <c r="AQ157" s="60">
        <f>MAX(AI157:AP157)</f>
        <v>5</v>
      </c>
      <c r="AR157" s="44">
        <f>IF($A153=TRUE,AQ157*$I153,0)</f>
        <v>0</v>
      </c>
      <c r="AS157" s="1" t="s">
        <v>4</v>
      </c>
      <c r="AT157" s="8" t="s">
        <v>18</v>
      </c>
      <c r="AU157" s="9" t="s">
        <v>18</v>
      </c>
      <c r="AV157" s="8" t="s">
        <v>18</v>
      </c>
      <c r="AW157" s="9" t="s">
        <v>18</v>
      </c>
      <c r="AX157" s="8" t="s">
        <v>18</v>
      </c>
      <c r="AY157" s="9" t="s">
        <v>18</v>
      </c>
      <c r="AZ157" s="8" t="s">
        <v>18</v>
      </c>
      <c r="BA157" s="9" t="s">
        <v>18</v>
      </c>
      <c r="BB157" s="60">
        <f>MAX(AT157:BA157)</f>
        <v>0</v>
      </c>
      <c r="BC157" s="44">
        <f>IF($A153=TRUE,BB157*$I153,0)</f>
        <v>0</v>
      </c>
    </row>
    <row r="158" spans="1:55" x14ac:dyDescent="0.3">
      <c r="A158" s="1" t="s">
        <v>5</v>
      </c>
      <c r="B158" s="28">
        <v>3</v>
      </c>
      <c r="C158" s="19">
        <v>3</v>
      </c>
      <c r="D158" s="8" t="s">
        <v>18</v>
      </c>
      <c r="E158" s="9" t="s">
        <v>18</v>
      </c>
      <c r="F158" s="24">
        <v>1</v>
      </c>
      <c r="G158" s="17">
        <v>4</v>
      </c>
      <c r="H158" s="8" t="s">
        <v>18</v>
      </c>
      <c r="I158" s="9" t="s">
        <v>18</v>
      </c>
      <c r="J158" s="60">
        <f t="shared" si="23"/>
        <v>4</v>
      </c>
      <c r="K158" s="44">
        <f>IF(A153=TRUE,J158*I153,0)</f>
        <v>0</v>
      </c>
      <c r="L158" s="1" t="s">
        <v>5</v>
      </c>
      <c r="M158" s="28">
        <v>3</v>
      </c>
      <c r="N158" s="19">
        <v>3</v>
      </c>
      <c r="O158" s="8" t="s">
        <v>18</v>
      </c>
      <c r="P158" s="9" t="s">
        <v>18</v>
      </c>
      <c r="Q158" s="24">
        <v>1</v>
      </c>
      <c r="R158" s="17">
        <v>4</v>
      </c>
      <c r="S158" s="8" t="s">
        <v>18</v>
      </c>
      <c r="T158" s="9" t="s">
        <v>18</v>
      </c>
      <c r="U158" s="60">
        <f t="shared" ref="U158:U166" si="32">MAX(M158:T158)</f>
        <v>4</v>
      </c>
      <c r="V158" s="44">
        <f>IF($A153=TRUE,U158*$I153,0)</f>
        <v>0</v>
      </c>
      <c r="W158" s="1" t="s">
        <v>5</v>
      </c>
      <c r="X158" s="28">
        <v>3</v>
      </c>
      <c r="Y158" s="19">
        <v>3</v>
      </c>
      <c r="Z158" s="8" t="s">
        <v>18</v>
      </c>
      <c r="AA158" s="9" t="s">
        <v>18</v>
      </c>
      <c r="AB158" s="24">
        <v>1</v>
      </c>
      <c r="AC158" s="17">
        <v>4</v>
      </c>
      <c r="AD158" s="8" t="s">
        <v>18</v>
      </c>
      <c r="AE158" s="9" t="s">
        <v>18</v>
      </c>
      <c r="AF158" s="60">
        <f t="shared" ref="AF158:AF166" si="33">MAX(X158:AE158)</f>
        <v>4</v>
      </c>
      <c r="AG158" s="44">
        <f>IF($A153=TRUE,AF158*$I153,0)</f>
        <v>0</v>
      </c>
      <c r="AH158" s="1" t="s">
        <v>5</v>
      </c>
      <c r="AI158" s="28">
        <v>3</v>
      </c>
      <c r="AJ158" s="19">
        <v>3</v>
      </c>
      <c r="AK158" s="8" t="s">
        <v>18</v>
      </c>
      <c r="AL158" s="9" t="s">
        <v>18</v>
      </c>
      <c r="AM158" s="24">
        <v>1</v>
      </c>
      <c r="AN158" s="17">
        <v>4</v>
      </c>
      <c r="AO158" s="8" t="s">
        <v>18</v>
      </c>
      <c r="AP158" s="9" t="s">
        <v>18</v>
      </c>
      <c r="AQ158" s="60">
        <f t="shared" ref="AQ158:AQ166" si="34">MAX(AI158:AP158)</f>
        <v>4</v>
      </c>
      <c r="AR158" s="44">
        <f>IF($A153=TRUE,AQ158*$I153,0)</f>
        <v>0</v>
      </c>
      <c r="AS158" s="1" t="s">
        <v>5</v>
      </c>
      <c r="AT158" s="8" t="s">
        <v>18</v>
      </c>
      <c r="AU158" s="9" t="s">
        <v>18</v>
      </c>
      <c r="AV158" s="8" t="s">
        <v>18</v>
      </c>
      <c r="AW158" s="9" t="s">
        <v>18</v>
      </c>
      <c r="AX158" s="8" t="s">
        <v>18</v>
      </c>
      <c r="AY158" s="9" t="s">
        <v>18</v>
      </c>
      <c r="AZ158" s="8" t="s">
        <v>18</v>
      </c>
      <c r="BA158" s="9" t="s">
        <v>18</v>
      </c>
      <c r="BB158" s="60">
        <f t="shared" ref="BB158:BB166" si="35">MAX(AT158:BA158)</f>
        <v>0</v>
      </c>
      <c r="BC158" s="44">
        <f>IF($A153=TRUE,BB158*$I153,0)</f>
        <v>0</v>
      </c>
    </row>
    <row r="159" spans="1:55" x14ac:dyDescent="0.3">
      <c r="A159" s="1" t="s">
        <v>6</v>
      </c>
      <c r="B159" s="28">
        <v>3</v>
      </c>
      <c r="C159" s="19">
        <v>3</v>
      </c>
      <c r="D159" s="8" t="s">
        <v>18</v>
      </c>
      <c r="E159" s="9" t="s">
        <v>18</v>
      </c>
      <c r="F159" s="24">
        <v>1</v>
      </c>
      <c r="G159" s="17">
        <v>4</v>
      </c>
      <c r="H159" s="8" t="s">
        <v>18</v>
      </c>
      <c r="I159" s="9" t="s">
        <v>18</v>
      </c>
      <c r="J159" s="60">
        <f t="shared" si="23"/>
        <v>4</v>
      </c>
      <c r="K159" s="44">
        <f>IF(A153=TRUE,J159*I153,0)</f>
        <v>0</v>
      </c>
      <c r="L159" s="1" t="s">
        <v>6</v>
      </c>
      <c r="M159" s="28">
        <v>3</v>
      </c>
      <c r="N159" s="19">
        <v>3</v>
      </c>
      <c r="O159" s="8" t="s">
        <v>18</v>
      </c>
      <c r="P159" s="9" t="s">
        <v>18</v>
      </c>
      <c r="Q159" s="24">
        <v>1</v>
      </c>
      <c r="R159" s="17">
        <v>4</v>
      </c>
      <c r="S159" s="8" t="s">
        <v>18</v>
      </c>
      <c r="T159" s="9" t="s">
        <v>18</v>
      </c>
      <c r="U159" s="60">
        <f t="shared" si="32"/>
        <v>4</v>
      </c>
      <c r="V159" s="44">
        <f>IF($A153=TRUE,U159*$I153,0)</f>
        <v>0</v>
      </c>
      <c r="W159" s="1" t="s">
        <v>6</v>
      </c>
      <c r="X159" s="28">
        <v>3</v>
      </c>
      <c r="Y159" s="19">
        <v>3</v>
      </c>
      <c r="Z159" s="8" t="s">
        <v>18</v>
      </c>
      <c r="AA159" s="9" t="s">
        <v>18</v>
      </c>
      <c r="AB159" s="24">
        <v>1</v>
      </c>
      <c r="AC159" s="17">
        <v>4</v>
      </c>
      <c r="AD159" s="8" t="s">
        <v>18</v>
      </c>
      <c r="AE159" s="9" t="s">
        <v>18</v>
      </c>
      <c r="AF159" s="60">
        <f t="shared" si="33"/>
        <v>4</v>
      </c>
      <c r="AG159" s="44">
        <f>IF($A153=TRUE,AF159*$I153,0)</f>
        <v>0</v>
      </c>
      <c r="AH159" s="1" t="s">
        <v>6</v>
      </c>
      <c r="AI159" s="28">
        <v>3</v>
      </c>
      <c r="AJ159" s="19">
        <v>3</v>
      </c>
      <c r="AK159" s="8" t="s">
        <v>18</v>
      </c>
      <c r="AL159" s="9" t="s">
        <v>18</v>
      </c>
      <c r="AM159" s="24">
        <v>1</v>
      </c>
      <c r="AN159" s="17">
        <v>4</v>
      </c>
      <c r="AO159" s="8" t="s">
        <v>18</v>
      </c>
      <c r="AP159" s="9" t="s">
        <v>18</v>
      </c>
      <c r="AQ159" s="60">
        <f t="shared" si="34"/>
        <v>4</v>
      </c>
      <c r="AR159" s="44">
        <f>IF($A153=TRUE,AQ159*$I153,0)</f>
        <v>0</v>
      </c>
      <c r="AS159" s="1" t="s">
        <v>6</v>
      </c>
      <c r="AT159" s="8" t="s">
        <v>18</v>
      </c>
      <c r="AU159" s="9" t="s">
        <v>18</v>
      </c>
      <c r="AV159" s="8" t="s">
        <v>18</v>
      </c>
      <c r="AW159" s="9" t="s">
        <v>18</v>
      </c>
      <c r="AX159" s="8" t="s">
        <v>18</v>
      </c>
      <c r="AY159" s="9" t="s">
        <v>18</v>
      </c>
      <c r="AZ159" s="8" t="s">
        <v>18</v>
      </c>
      <c r="BA159" s="9" t="s">
        <v>18</v>
      </c>
      <c r="BB159" s="60">
        <f t="shared" si="35"/>
        <v>0</v>
      </c>
      <c r="BC159" s="44">
        <f>IF($A153=TRUE,BB159*$I153,0)</f>
        <v>0</v>
      </c>
    </row>
    <row r="160" spans="1:55" x14ac:dyDescent="0.3">
      <c r="A160" s="1" t="s">
        <v>1</v>
      </c>
      <c r="B160" s="8" t="s">
        <v>18</v>
      </c>
      <c r="C160" s="9" t="s">
        <v>18</v>
      </c>
      <c r="D160" s="8" t="s">
        <v>18</v>
      </c>
      <c r="E160" s="9" t="s">
        <v>18</v>
      </c>
      <c r="F160" s="8" t="s">
        <v>18</v>
      </c>
      <c r="G160" s="9" t="s">
        <v>18</v>
      </c>
      <c r="H160" s="21">
        <v>5</v>
      </c>
      <c r="I160" s="26">
        <v>5</v>
      </c>
      <c r="J160" s="60">
        <f t="shared" si="23"/>
        <v>5</v>
      </c>
      <c r="K160" s="44">
        <f>IF(A153=TRUE,J160*I153,0)</f>
        <v>0</v>
      </c>
      <c r="L160" s="1" t="s">
        <v>1</v>
      </c>
      <c r="M160" s="8" t="s">
        <v>18</v>
      </c>
      <c r="N160" s="9" t="s">
        <v>18</v>
      </c>
      <c r="O160" s="8" t="s">
        <v>18</v>
      </c>
      <c r="P160" s="9" t="s">
        <v>18</v>
      </c>
      <c r="Q160" s="8" t="s">
        <v>18</v>
      </c>
      <c r="R160" s="9" t="s">
        <v>18</v>
      </c>
      <c r="S160" s="21">
        <v>5</v>
      </c>
      <c r="T160" s="26">
        <v>5</v>
      </c>
      <c r="U160" s="60">
        <f t="shared" si="32"/>
        <v>5</v>
      </c>
      <c r="V160" s="44">
        <f>IF($A153=TRUE,U160*$I153,0)</f>
        <v>0</v>
      </c>
      <c r="W160" s="1" t="s">
        <v>1</v>
      </c>
      <c r="X160" s="8" t="s">
        <v>18</v>
      </c>
      <c r="Y160" s="9" t="s">
        <v>18</v>
      </c>
      <c r="Z160" s="8" t="s">
        <v>18</v>
      </c>
      <c r="AA160" s="9" t="s">
        <v>18</v>
      </c>
      <c r="AB160" s="8" t="s">
        <v>18</v>
      </c>
      <c r="AC160" s="9" t="s">
        <v>18</v>
      </c>
      <c r="AD160" s="21">
        <v>5</v>
      </c>
      <c r="AE160" s="26">
        <v>5</v>
      </c>
      <c r="AF160" s="60">
        <f t="shared" si="33"/>
        <v>5</v>
      </c>
      <c r="AG160" s="44">
        <f>IF($A153=TRUE,AF160*$I153,0)</f>
        <v>0</v>
      </c>
      <c r="AH160" s="1" t="s">
        <v>1</v>
      </c>
      <c r="AI160" s="8" t="s">
        <v>18</v>
      </c>
      <c r="AJ160" s="9" t="s">
        <v>18</v>
      </c>
      <c r="AK160" s="8" t="s">
        <v>18</v>
      </c>
      <c r="AL160" s="9" t="s">
        <v>18</v>
      </c>
      <c r="AM160" s="8" t="s">
        <v>18</v>
      </c>
      <c r="AN160" s="9" t="s">
        <v>18</v>
      </c>
      <c r="AO160" s="21">
        <v>5</v>
      </c>
      <c r="AP160" s="26">
        <v>5</v>
      </c>
      <c r="AQ160" s="60">
        <f t="shared" si="34"/>
        <v>5</v>
      </c>
      <c r="AR160" s="44">
        <f>IF($A153=TRUE,AQ160*$I153,0)</f>
        <v>0</v>
      </c>
      <c r="AS160" s="1" t="s">
        <v>1</v>
      </c>
      <c r="AT160" s="8" t="s">
        <v>18</v>
      </c>
      <c r="AU160" s="9" t="s">
        <v>18</v>
      </c>
      <c r="AV160" s="8" t="s">
        <v>18</v>
      </c>
      <c r="AW160" s="9" t="s">
        <v>18</v>
      </c>
      <c r="AX160" s="8" t="s">
        <v>18</v>
      </c>
      <c r="AY160" s="9" t="s">
        <v>18</v>
      </c>
      <c r="AZ160" s="8" t="s">
        <v>18</v>
      </c>
      <c r="BA160" s="9" t="s">
        <v>18</v>
      </c>
      <c r="BB160" s="60">
        <f t="shared" si="35"/>
        <v>0</v>
      </c>
      <c r="BC160" s="44">
        <f>IF($A153=TRUE,BB160*$I153,0)</f>
        <v>0</v>
      </c>
    </row>
    <row r="161" spans="1:55" x14ac:dyDescent="0.3">
      <c r="A161" s="1" t="s">
        <v>16</v>
      </c>
      <c r="B161" s="8" t="s">
        <v>18</v>
      </c>
      <c r="C161" s="9" t="s">
        <v>18</v>
      </c>
      <c r="D161" s="8" t="s">
        <v>18</v>
      </c>
      <c r="E161" s="9" t="s">
        <v>18</v>
      </c>
      <c r="F161" s="8" t="s">
        <v>18</v>
      </c>
      <c r="G161" s="26">
        <v>5</v>
      </c>
      <c r="H161" s="8" t="s">
        <v>18</v>
      </c>
      <c r="I161" s="26">
        <v>5</v>
      </c>
      <c r="J161" s="60">
        <f t="shared" si="23"/>
        <v>5</v>
      </c>
      <c r="K161" s="44">
        <f>IF(A153=TRUE,J161*I153,0)</f>
        <v>0</v>
      </c>
      <c r="L161" s="1" t="s">
        <v>16</v>
      </c>
      <c r="M161" s="8" t="s">
        <v>18</v>
      </c>
      <c r="N161" s="9" t="s">
        <v>18</v>
      </c>
      <c r="O161" s="8" t="s">
        <v>18</v>
      </c>
      <c r="P161" s="9" t="s">
        <v>18</v>
      </c>
      <c r="Q161" s="8" t="s">
        <v>18</v>
      </c>
      <c r="R161" s="26">
        <v>5</v>
      </c>
      <c r="S161" s="8" t="s">
        <v>18</v>
      </c>
      <c r="T161" s="26">
        <v>5</v>
      </c>
      <c r="U161" s="60">
        <f t="shared" si="32"/>
        <v>5</v>
      </c>
      <c r="V161" s="44">
        <f>IF($A153=TRUE,U161*$I153,0)</f>
        <v>0</v>
      </c>
      <c r="W161" s="1" t="s">
        <v>16</v>
      </c>
      <c r="X161" s="8" t="s">
        <v>18</v>
      </c>
      <c r="Y161" s="9" t="s">
        <v>18</v>
      </c>
      <c r="Z161" s="8" t="s">
        <v>18</v>
      </c>
      <c r="AA161" s="9" t="s">
        <v>18</v>
      </c>
      <c r="AB161" s="8" t="s">
        <v>18</v>
      </c>
      <c r="AC161" s="26">
        <v>5</v>
      </c>
      <c r="AD161" s="8" t="s">
        <v>18</v>
      </c>
      <c r="AE161" s="26">
        <v>5</v>
      </c>
      <c r="AF161" s="60">
        <f t="shared" si="33"/>
        <v>5</v>
      </c>
      <c r="AG161" s="44">
        <f>IF($A153=TRUE,AF161*$I153,0)</f>
        <v>0</v>
      </c>
      <c r="AH161" s="1" t="s">
        <v>16</v>
      </c>
      <c r="AI161" s="8" t="s">
        <v>18</v>
      </c>
      <c r="AJ161" s="9" t="s">
        <v>18</v>
      </c>
      <c r="AK161" s="8" t="s">
        <v>18</v>
      </c>
      <c r="AL161" s="9" t="s">
        <v>18</v>
      </c>
      <c r="AM161" s="8" t="s">
        <v>18</v>
      </c>
      <c r="AN161" s="26">
        <v>5</v>
      </c>
      <c r="AO161" s="8" t="s">
        <v>18</v>
      </c>
      <c r="AP161" s="26">
        <v>5</v>
      </c>
      <c r="AQ161" s="60">
        <f t="shared" si="34"/>
        <v>5</v>
      </c>
      <c r="AR161" s="44">
        <f>IF($A153=TRUE,AQ161*$I153,0)</f>
        <v>0</v>
      </c>
      <c r="AS161" s="1" t="s">
        <v>16</v>
      </c>
      <c r="AT161" s="8" t="s">
        <v>18</v>
      </c>
      <c r="AU161" s="9" t="s">
        <v>18</v>
      </c>
      <c r="AV161" s="8" t="s">
        <v>18</v>
      </c>
      <c r="AW161" s="9" t="s">
        <v>18</v>
      </c>
      <c r="AX161" s="8" t="s">
        <v>18</v>
      </c>
      <c r="AY161" s="9" t="s">
        <v>18</v>
      </c>
      <c r="AZ161" s="8" t="s">
        <v>18</v>
      </c>
      <c r="BA161" s="9" t="s">
        <v>18</v>
      </c>
      <c r="BB161" s="60">
        <f t="shared" si="35"/>
        <v>0</v>
      </c>
      <c r="BC161" s="44">
        <f>IF($A153=TRUE,BB161*$I153,0)</f>
        <v>0</v>
      </c>
    </row>
    <row r="162" spans="1:55" x14ac:dyDescent="0.3">
      <c r="A162" s="1" t="s">
        <v>17</v>
      </c>
      <c r="B162" s="8" t="s">
        <v>18</v>
      </c>
      <c r="C162" s="9" t="s">
        <v>18</v>
      </c>
      <c r="D162" s="25">
        <v>4</v>
      </c>
      <c r="E162" s="17">
        <v>4</v>
      </c>
      <c r="F162" s="8" t="s">
        <v>18</v>
      </c>
      <c r="G162" s="9" t="s">
        <v>18</v>
      </c>
      <c r="H162" s="21">
        <v>5</v>
      </c>
      <c r="I162" s="26">
        <v>5</v>
      </c>
      <c r="J162" s="60">
        <f t="shared" si="23"/>
        <v>5</v>
      </c>
      <c r="K162" s="44">
        <f>IF(A153=TRUE,J162*I153,0)</f>
        <v>0</v>
      </c>
      <c r="L162" s="1" t="s">
        <v>17</v>
      </c>
      <c r="M162" s="8" t="s">
        <v>18</v>
      </c>
      <c r="N162" s="9" t="s">
        <v>18</v>
      </c>
      <c r="O162" s="25">
        <v>4</v>
      </c>
      <c r="P162" s="17">
        <v>4</v>
      </c>
      <c r="Q162" s="8" t="s">
        <v>18</v>
      </c>
      <c r="R162" s="9" t="s">
        <v>18</v>
      </c>
      <c r="S162" s="21">
        <v>5</v>
      </c>
      <c r="T162" s="26">
        <v>5</v>
      </c>
      <c r="U162" s="60">
        <f t="shared" si="32"/>
        <v>5</v>
      </c>
      <c r="V162" s="44">
        <f>IF($A153=TRUE,U162*$I153,0)</f>
        <v>0</v>
      </c>
      <c r="W162" s="1" t="s">
        <v>17</v>
      </c>
      <c r="X162" s="8" t="s">
        <v>18</v>
      </c>
      <c r="Y162" s="9" t="s">
        <v>18</v>
      </c>
      <c r="Z162" s="25">
        <v>4</v>
      </c>
      <c r="AA162" s="17">
        <v>4</v>
      </c>
      <c r="AB162" s="8" t="s">
        <v>18</v>
      </c>
      <c r="AC162" s="9" t="s">
        <v>18</v>
      </c>
      <c r="AD162" s="21">
        <v>5</v>
      </c>
      <c r="AE162" s="26">
        <v>5</v>
      </c>
      <c r="AF162" s="60">
        <f t="shared" si="33"/>
        <v>5</v>
      </c>
      <c r="AG162" s="44">
        <f>IF($A153=TRUE,AF162*$I153,0)</f>
        <v>0</v>
      </c>
      <c r="AH162" s="1" t="s">
        <v>17</v>
      </c>
      <c r="AI162" s="8" t="s">
        <v>18</v>
      </c>
      <c r="AJ162" s="9" t="s">
        <v>18</v>
      </c>
      <c r="AK162" s="25">
        <v>4</v>
      </c>
      <c r="AL162" s="17">
        <v>4</v>
      </c>
      <c r="AM162" s="8" t="s">
        <v>18</v>
      </c>
      <c r="AN162" s="9" t="s">
        <v>18</v>
      </c>
      <c r="AO162" s="21">
        <v>5</v>
      </c>
      <c r="AP162" s="26">
        <v>5</v>
      </c>
      <c r="AQ162" s="60">
        <f t="shared" si="34"/>
        <v>5</v>
      </c>
      <c r="AR162" s="44">
        <f>IF($A153=TRUE,AQ162*$I153,0)</f>
        <v>0</v>
      </c>
      <c r="AS162" s="1" t="s">
        <v>17</v>
      </c>
      <c r="AT162" s="8" t="s">
        <v>18</v>
      </c>
      <c r="AU162" s="9" t="s">
        <v>18</v>
      </c>
      <c r="AV162" s="24">
        <v>1</v>
      </c>
      <c r="AW162" s="22">
        <v>1</v>
      </c>
      <c r="AX162" s="8" t="s">
        <v>18</v>
      </c>
      <c r="AY162" s="9" t="s">
        <v>18</v>
      </c>
      <c r="AZ162" s="27">
        <v>5</v>
      </c>
      <c r="BA162" s="26">
        <v>5</v>
      </c>
      <c r="BB162" s="60">
        <f t="shared" si="35"/>
        <v>5</v>
      </c>
      <c r="BC162" s="44">
        <f>IF($A153=TRUE,BB162*$I153,0)</f>
        <v>0</v>
      </c>
    </row>
    <row r="163" spans="1:55" x14ac:dyDescent="0.3">
      <c r="A163" s="1" t="s">
        <v>2</v>
      </c>
      <c r="B163" s="28">
        <v>3</v>
      </c>
      <c r="C163" s="19">
        <v>3</v>
      </c>
      <c r="D163" s="8" t="s">
        <v>18</v>
      </c>
      <c r="E163" s="9" t="s">
        <v>18</v>
      </c>
      <c r="F163" s="28">
        <v>3</v>
      </c>
      <c r="G163" s="19">
        <v>3</v>
      </c>
      <c r="H163" s="8" t="s">
        <v>18</v>
      </c>
      <c r="I163" s="9" t="s">
        <v>18</v>
      </c>
      <c r="J163" s="60">
        <f t="shared" si="23"/>
        <v>3</v>
      </c>
      <c r="K163" s="44">
        <f>IF(A153=TRUE,J163*I153,0)</f>
        <v>0</v>
      </c>
      <c r="L163" s="1" t="s">
        <v>2</v>
      </c>
      <c r="M163" s="28">
        <v>3</v>
      </c>
      <c r="N163" s="19">
        <v>3</v>
      </c>
      <c r="O163" s="8" t="s">
        <v>18</v>
      </c>
      <c r="P163" s="9" t="s">
        <v>18</v>
      </c>
      <c r="Q163" s="28">
        <v>3</v>
      </c>
      <c r="R163" s="19">
        <v>3</v>
      </c>
      <c r="S163" s="8" t="s">
        <v>18</v>
      </c>
      <c r="T163" s="9" t="s">
        <v>18</v>
      </c>
      <c r="U163" s="60">
        <f t="shared" si="32"/>
        <v>3</v>
      </c>
      <c r="V163" s="44">
        <f>IF($A153=TRUE,U163*$I153,0)</f>
        <v>0</v>
      </c>
      <c r="W163" s="1" t="s">
        <v>2</v>
      </c>
      <c r="X163" s="28">
        <v>3</v>
      </c>
      <c r="Y163" s="19">
        <v>3</v>
      </c>
      <c r="Z163" s="8" t="s">
        <v>18</v>
      </c>
      <c r="AA163" s="9" t="s">
        <v>18</v>
      </c>
      <c r="AB163" s="28">
        <v>3</v>
      </c>
      <c r="AC163" s="19">
        <v>3</v>
      </c>
      <c r="AD163" s="8" t="s">
        <v>18</v>
      </c>
      <c r="AE163" s="9" t="s">
        <v>18</v>
      </c>
      <c r="AF163" s="60">
        <f t="shared" si="33"/>
        <v>3</v>
      </c>
      <c r="AG163" s="44">
        <f>IF($A153=TRUE,AF163*$I153,0)</f>
        <v>0</v>
      </c>
      <c r="AH163" s="1" t="s">
        <v>2</v>
      </c>
      <c r="AI163" s="28">
        <v>3</v>
      </c>
      <c r="AJ163" s="19">
        <v>3</v>
      </c>
      <c r="AK163" s="8" t="s">
        <v>18</v>
      </c>
      <c r="AL163" s="9" t="s">
        <v>18</v>
      </c>
      <c r="AM163" s="28">
        <v>3</v>
      </c>
      <c r="AN163" s="19">
        <v>3</v>
      </c>
      <c r="AO163" s="8" t="s">
        <v>18</v>
      </c>
      <c r="AP163" s="9" t="s">
        <v>18</v>
      </c>
      <c r="AQ163" s="60">
        <f t="shared" si="34"/>
        <v>3</v>
      </c>
      <c r="AR163" s="44">
        <f>IF($A153=TRUE,AQ163*$I153,0)</f>
        <v>0</v>
      </c>
      <c r="AS163" s="1" t="s">
        <v>2</v>
      </c>
      <c r="AT163" s="8" t="s">
        <v>18</v>
      </c>
      <c r="AU163" s="9" t="s">
        <v>18</v>
      </c>
      <c r="AV163" s="8" t="s">
        <v>18</v>
      </c>
      <c r="AW163" s="9" t="s">
        <v>18</v>
      </c>
      <c r="AX163" s="8" t="s">
        <v>18</v>
      </c>
      <c r="AY163" s="9" t="s">
        <v>18</v>
      </c>
      <c r="AZ163" s="8" t="s">
        <v>18</v>
      </c>
      <c r="BA163" s="9" t="s">
        <v>18</v>
      </c>
      <c r="BB163" s="60">
        <f t="shared" si="35"/>
        <v>0</v>
      </c>
      <c r="BC163" s="44">
        <f>IF($A153=TRUE,BB163*$I153,0)</f>
        <v>0</v>
      </c>
    </row>
    <row r="164" spans="1:55" x14ac:dyDescent="0.3">
      <c r="A164" s="1" t="s">
        <v>20</v>
      </c>
      <c r="B164" s="8" t="s">
        <v>18</v>
      </c>
      <c r="C164" s="9" t="s">
        <v>18</v>
      </c>
      <c r="D164" s="21">
        <v>5</v>
      </c>
      <c r="E164" s="26">
        <v>5</v>
      </c>
      <c r="F164" s="8" t="s">
        <v>18</v>
      </c>
      <c r="G164" s="9" t="s">
        <v>18</v>
      </c>
      <c r="H164" s="8" t="s">
        <v>18</v>
      </c>
      <c r="I164" s="26">
        <v>5</v>
      </c>
      <c r="J164" s="60">
        <f t="shared" si="23"/>
        <v>5</v>
      </c>
      <c r="K164" s="44">
        <f>IF(A153=TRUE,J164*I153,0)</f>
        <v>0</v>
      </c>
      <c r="L164" s="1" t="s">
        <v>20</v>
      </c>
      <c r="M164" s="8" t="s">
        <v>18</v>
      </c>
      <c r="N164" s="9" t="s">
        <v>18</v>
      </c>
      <c r="O164" s="21">
        <v>5</v>
      </c>
      <c r="P164" s="26">
        <v>5</v>
      </c>
      <c r="Q164" s="8" t="s">
        <v>18</v>
      </c>
      <c r="R164" s="9" t="s">
        <v>18</v>
      </c>
      <c r="S164" s="8" t="s">
        <v>18</v>
      </c>
      <c r="T164" s="26">
        <v>5</v>
      </c>
      <c r="U164" s="60">
        <f t="shared" si="32"/>
        <v>5</v>
      </c>
      <c r="V164" s="44">
        <f>IF($A153=TRUE,U164*$I153,0)</f>
        <v>0</v>
      </c>
      <c r="W164" s="1" t="s">
        <v>20</v>
      </c>
      <c r="X164" s="8" t="s">
        <v>18</v>
      </c>
      <c r="Y164" s="9" t="s">
        <v>18</v>
      </c>
      <c r="Z164" s="21">
        <v>5</v>
      </c>
      <c r="AA164" s="26">
        <v>5</v>
      </c>
      <c r="AB164" s="8" t="s">
        <v>18</v>
      </c>
      <c r="AC164" s="9" t="s">
        <v>18</v>
      </c>
      <c r="AD164" s="8" t="s">
        <v>18</v>
      </c>
      <c r="AE164" s="26">
        <v>5</v>
      </c>
      <c r="AF164" s="60">
        <f t="shared" si="33"/>
        <v>5</v>
      </c>
      <c r="AG164" s="44">
        <f>IF($A153=TRUE,AF164*$I153,0)</f>
        <v>0</v>
      </c>
      <c r="AH164" s="1" t="s">
        <v>20</v>
      </c>
      <c r="AI164" s="8" t="s">
        <v>18</v>
      </c>
      <c r="AJ164" s="9" t="s">
        <v>18</v>
      </c>
      <c r="AK164" s="21">
        <v>5</v>
      </c>
      <c r="AL164" s="26">
        <v>5</v>
      </c>
      <c r="AM164" s="8" t="s">
        <v>18</v>
      </c>
      <c r="AN164" s="9" t="s">
        <v>18</v>
      </c>
      <c r="AO164" s="8" t="s">
        <v>18</v>
      </c>
      <c r="AP164" s="26">
        <v>5</v>
      </c>
      <c r="AQ164" s="60">
        <f t="shared" si="34"/>
        <v>5</v>
      </c>
      <c r="AR164" s="44">
        <f>IF($A153=TRUE,AQ164*$I153,0)</f>
        <v>0</v>
      </c>
      <c r="AS164" s="1" t="s">
        <v>20</v>
      </c>
      <c r="AT164" s="8" t="s">
        <v>18</v>
      </c>
      <c r="AU164" s="9" t="s">
        <v>18</v>
      </c>
      <c r="AV164" s="8" t="s">
        <v>18</v>
      </c>
      <c r="AW164" s="9" t="s">
        <v>18</v>
      </c>
      <c r="AX164" s="8" t="s">
        <v>18</v>
      </c>
      <c r="AY164" s="9" t="s">
        <v>18</v>
      </c>
      <c r="AZ164" s="8" t="s">
        <v>18</v>
      </c>
      <c r="BA164" s="9" t="s">
        <v>18</v>
      </c>
      <c r="BB164" s="60">
        <f t="shared" si="35"/>
        <v>0</v>
      </c>
      <c r="BC164" s="44">
        <f>IF($A153=TRUE,BB164*$I153,0)</f>
        <v>0</v>
      </c>
    </row>
    <row r="165" spans="1:55" x14ac:dyDescent="0.3">
      <c r="A165" s="1" t="s">
        <v>3</v>
      </c>
      <c r="B165" s="8" t="s">
        <v>18</v>
      </c>
      <c r="C165" s="9" t="s">
        <v>18</v>
      </c>
      <c r="D165" s="20">
        <v>2</v>
      </c>
      <c r="E165" s="23">
        <v>2</v>
      </c>
      <c r="F165" s="8" t="s">
        <v>18</v>
      </c>
      <c r="G165" s="9" t="s">
        <v>18</v>
      </c>
      <c r="H165" s="8" t="s">
        <v>18</v>
      </c>
      <c r="I165" s="9" t="s">
        <v>18</v>
      </c>
      <c r="J165" s="60">
        <f t="shared" si="23"/>
        <v>2</v>
      </c>
      <c r="K165" s="44">
        <f>IF(A153=TRUE,J165*I153,0)</f>
        <v>0</v>
      </c>
      <c r="L165" s="1" t="s">
        <v>3</v>
      </c>
      <c r="M165" s="8" t="s">
        <v>18</v>
      </c>
      <c r="N165" s="9" t="s">
        <v>18</v>
      </c>
      <c r="O165" s="20">
        <v>2</v>
      </c>
      <c r="P165" s="23">
        <v>2</v>
      </c>
      <c r="Q165" s="8" t="s">
        <v>18</v>
      </c>
      <c r="R165" s="9" t="s">
        <v>18</v>
      </c>
      <c r="S165" s="8" t="s">
        <v>18</v>
      </c>
      <c r="T165" s="9" t="s">
        <v>18</v>
      </c>
      <c r="U165" s="60">
        <f t="shared" si="32"/>
        <v>2</v>
      </c>
      <c r="V165" s="44">
        <f>IF($A153=TRUE,U165*$I153,0)</f>
        <v>0</v>
      </c>
      <c r="W165" s="1" t="s">
        <v>3</v>
      </c>
      <c r="X165" s="8" t="s">
        <v>18</v>
      </c>
      <c r="Y165" s="9" t="s">
        <v>18</v>
      </c>
      <c r="Z165" s="20">
        <v>2</v>
      </c>
      <c r="AA165" s="23">
        <v>2</v>
      </c>
      <c r="AB165" s="8" t="s">
        <v>18</v>
      </c>
      <c r="AC165" s="9" t="s">
        <v>18</v>
      </c>
      <c r="AD165" s="8" t="s">
        <v>18</v>
      </c>
      <c r="AE165" s="9" t="s">
        <v>18</v>
      </c>
      <c r="AF165" s="60">
        <f t="shared" si="33"/>
        <v>2</v>
      </c>
      <c r="AG165" s="44">
        <f>IF($A153=TRUE,AF165*$I153,0)</f>
        <v>0</v>
      </c>
      <c r="AH165" s="1" t="s">
        <v>3</v>
      </c>
      <c r="AI165" s="8" t="s">
        <v>18</v>
      </c>
      <c r="AJ165" s="9" t="s">
        <v>18</v>
      </c>
      <c r="AK165" s="20">
        <v>2</v>
      </c>
      <c r="AL165" s="23">
        <v>2</v>
      </c>
      <c r="AM165" s="8" t="s">
        <v>18</v>
      </c>
      <c r="AN165" s="9" t="s">
        <v>18</v>
      </c>
      <c r="AO165" s="8" t="s">
        <v>18</v>
      </c>
      <c r="AP165" s="9" t="s">
        <v>18</v>
      </c>
      <c r="AQ165" s="60">
        <f t="shared" si="34"/>
        <v>2</v>
      </c>
      <c r="AR165" s="44">
        <f>IF($A153=TRUE,AQ165*$I153,0)</f>
        <v>0</v>
      </c>
      <c r="AS165" s="1" t="s">
        <v>3</v>
      </c>
      <c r="AT165" s="8" t="s">
        <v>18</v>
      </c>
      <c r="AU165" s="9" t="s">
        <v>18</v>
      </c>
      <c r="AV165" s="8" t="s">
        <v>18</v>
      </c>
      <c r="AW165" s="9" t="s">
        <v>18</v>
      </c>
      <c r="AX165" s="8" t="s">
        <v>18</v>
      </c>
      <c r="AY165" s="9" t="s">
        <v>18</v>
      </c>
      <c r="AZ165" s="27">
        <v>5</v>
      </c>
      <c r="BA165" s="26">
        <v>5</v>
      </c>
      <c r="BB165" s="60">
        <f t="shared" si="35"/>
        <v>5</v>
      </c>
      <c r="BC165" s="44">
        <f>IF($A153=TRUE,BB165*$I153,0)</f>
        <v>0</v>
      </c>
    </row>
    <row r="166" spans="1:55" x14ac:dyDescent="0.3">
      <c r="A166" s="13" t="s">
        <v>12</v>
      </c>
      <c r="B166" s="14" t="s">
        <v>18</v>
      </c>
      <c r="C166" s="15" t="s">
        <v>18</v>
      </c>
      <c r="D166" s="55">
        <v>1</v>
      </c>
      <c r="E166" s="52">
        <v>1</v>
      </c>
      <c r="F166" s="14" t="s">
        <v>18</v>
      </c>
      <c r="G166" s="15" t="s">
        <v>18</v>
      </c>
      <c r="H166" s="14" t="s">
        <v>18</v>
      </c>
      <c r="I166" s="15" t="s">
        <v>18</v>
      </c>
      <c r="J166" s="60">
        <f t="shared" si="23"/>
        <v>1</v>
      </c>
      <c r="K166" s="44">
        <f>IF(A153=TRUE,J166*I153,0)</f>
        <v>0</v>
      </c>
      <c r="L166" s="13" t="s">
        <v>12</v>
      </c>
      <c r="M166" s="14" t="s">
        <v>18</v>
      </c>
      <c r="N166" s="15" t="s">
        <v>18</v>
      </c>
      <c r="O166" s="55">
        <v>1</v>
      </c>
      <c r="P166" s="52">
        <v>1</v>
      </c>
      <c r="Q166" s="14" t="s">
        <v>18</v>
      </c>
      <c r="R166" s="15" t="s">
        <v>18</v>
      </c>
      <c r="S166" s="14" t="s">
        <v>18</v>
      </c>
      <c r="T166" s="15" t="s">
        <v>18</v>
      </c>
      <c r="U166" s="60">
        <f t="shared" si="32"/>
        <v>1</v>
      </c>
      <c r="V166" s="44">
        <f>IF($A153=TRUE,U166*$I153,0)</f>
        <v>0</v>
      </c>
      <c r="W166" s="13" t="s">
        <v>12</v>
      </c>
      <c r="X166" s="14" t="s">
        <v>18</v>
      </c>
      <c r="Y166" s="15" t="s">
        <v>18</v>
      </c>
      <c r="Z166" s="55">
        <v>1</v>
      </c>
      <c r="AA166" s="52">
        <v>1</v>
      </c>
      <c r="AB166" s="14" t="s">
        <v>18</v>
      </c>
      <c r="AC166" s="15" t="s">
        <v>18</v>
      </c>
      <c r="AD166" s="14" t="s">
        <v>18</v>
      </c>
      <c r="AE166" s="15" t="s">
        <v>18</v>
      </c>
      <c r="AF166" s="60">
        <f t="shared" si="33"/>
        <v>1</v>
      </c>
      <c r="AG166" s="44">
        <f>IF($A153=TRUE,AF166*$I153,0)</f>
        <v>0</v>
      </c>
      <c r="AH166" s="13" t="s">
        <v>12</v>
      </c>
      <c r="AI166" s="14" t="s">
        <v>18</v>
      </c>
      <c r="AJ166" s="15" t="s">
        <v>18</v>
      </c>
      <c r="AK166" s="55">
        <v>1</v>
      </c>
      <c r="AL166" s="52">
        <v>1</v>
      </c>
      <c r="AM166" s="14" t="s">
        <v>18</v>
      </c>
      <c r="AN166" s="15" t="s">
        <v>18</v>
      </c>
      <c r="AO166" s="14" t="s">
        <v>18</v>
      </c>
      <c r="AP166" s="15" t="s">
        <v>18</v>
      </c>
      <c r="AQ166" s="60">
        <f t="shared" si="34"/>
        <v>1</v>
      </c>
      <c r="AR166" s="44">
        <f>IF($A153=TRUE,AQ166*$I153,0)</f>
        <v>0</v>
      </c>
      <c r="AS166" s="13" t="s">
        <v>12</v>
      </c>
      <c r="AT166" s="14" t="s">
        <v>18</v>
      </c>
      <c r="AU166" s="15" t="s">
        <v>18</v>
      </c>
      <c r="AV166" s="55">
        <v>1</v>
      </c>
      <c r="AW166" s="52">
        <v>1</v>
      </c>
      <c r="AX166" s="14" t="s">
        <v>18</v>
      </c>
      <c r="AY166" s="15" t="s">
        <v>18</v>
      </c>
      <c r="AZ166" s="27">
        <v>5</v>
      </c>
      <c r="BA166" s="26">
        <v>5</v>
      </c>
      <c r="BB166" s="60">
        <f t="shared" si="35"/>
        <v>5</v>
      </c>
      <c r="BC166" s="44">
        <f>IF($A153=TRUE,BB166*$I153,0)</f>
        <v>0</v>
      </c>
    </row>
    <row r="167" spans="1:55" x14ac:dyDescent="0.3">
      <c r="J167" s="60"/>
    </row>
    <row r="168" spans="1:55" x14ac:dyDescent="0.3">
      <c r="A168" s="4" t="s">
        <v>19</v>
      </c>
      <c r="B168" s="2"/>
      <c r="C168" s="2"/>
      <c r="D168" s="2"/>
      <c r="E168" s="2"/>
      <c r="F168" s="2"/>
      <c r="G168" s="2"/>
      <c r="H168" s="2"/>
      <c r="I168" s="2" t="s">
        <v>26</v>
      </c>
      <c r="J168" s="60"/>
    </row>
    <row r="169" spans="1:55" x14ac:dyDescent="0.3">
      <c r="A169" s="2" t="b">
        <v>1</v>
      </c>
      <c r="B169" s="2"/>
      <c r="C169" s="2"/>
      <c r="D169" s="2"/>
      <c r="E169" s="2"/>
      <c r="F169" s="2"/>
      <c r="G169" s="2"/>
      <c r="H169" s="2"/>
      <c r="I169" s="2">
        <f>F24</f>
        <v>5</v>
      </c>
      <c r="J169" s="60"/>
    </row>
    <row r="170" spans="1:55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60"/>
    </row>
    <row r="171" spans="1:55" x14ac:dyDescent="0.3">
      <c r="A171" s="10" t="s">
        <v>14</v>
      </c>
      <c r="B171" s="85" t="s">
        <v>7</v>
      </c>
      <c r="C171" s="86"/>
      <c r="D171" s="85" t="s">
        <v>10</v>
      </c>
      <c r="E171" s="86"/>
      <c r="F171" s="87" t="s">
        <v>11</v>
      </c>
      <c r="G171" s="86"/>
      <c r="H171" s="85" t="s">
        <v>13</v>
      </c>
      <c r="I171" s="86"/>
      <c r="J171" s="60"/>
      <c r="L171" s="10" t="s">
        <v>14</v>
      </c>
      <c r="M171" s="85" t="s">
        <v>7</v>
      </c>
      <c r="N171" s="86"/>
      <c r="O171" s="85" t="s">
        <v>10</v>
      </c>
      <c r="P171" s="86"/>
      <c r="Q171" s="87" t="s">
        <v>11</v>
      </c>
      <c r="R171" s="86"/>
      <c r="S171" s="85" t="s">
        <v>13</v>
      </c>
      <c r="T171" s="86"/>
      <c r="W171" s="10" t="s">
        <v>14</v>
      </c>
      <c r="X171" s="85" t="s">
        <v>7</v>
      </c>
      <c r="Y171" s="86"/>
      <c r="Z171" s="85" t="s">
        <v>10</v>
      </c>
      <c r="AA171" s="86"/>
      <c r="AB171" s="87" t="s">
        <v>11</v>
      </c>
      <c r="AC171" s="86"/>
      <c r="AD171" s="85" t="s">
        <v>13</v>
      </c>
      <c r="AE171" s="86"/>
      <c r="AH171" s="10" t="s">
        <v>14</v>
      </c>
      <c r="AI171" s="85" t="s">
        <v>7</v>
      </c>
      <c r="AJ171" s="86"/>
      <c r="AK171" s="85" t="s">
        <v>10</v>
      </c>
      <c r="AL171" s="86"/>
      <c r="AM171" s="87" t="s">
        <v>11</v>
      </c>
      <c r="AN171" s="86"/>
      <c r="AO171" s="85" t="s">
        <v>13</v>
      </c>
      <c r="AP171" s="86"/>
      <c r="AS171" s="10" t="s">
        <v>14</v>
      </c>
      <c r="AT171" s="85" t="s">
        <v>7</v>
      </c>
      <c r="AU171" s="86"/>
      <c r="AV171" s="85" t="s">
        <v>10</v>
      </c>
      <c r="AW171" s="86"/>
      <c r="AX171" s="87" t="s">
        <v>11</v>
      </c>
      <c r="AY171" s="86"/>
      <c r="AZ171" s="85" t="s">
        <v>13</v>
      </c>
      <c r="BA171" s="86"/>
    </row>
    <row r="172" spans="1:55" ht="15" thickBot="1" x14ac:dyDescent="0.35">
      <c r="A172" s="11" t="s">
        <v>0</v>
      </c>
      <c r="B172" s="5" t="s">
        <v>8</v>
      </c>
      <c r="C172" s="6" t="s">
        <v>9</v>
      </c>
      <c r="D172" s="7" t="s">
        <v>8</v>
      </c>
      <c r="E172" s="6" t="s">
        <v>9</v>
      </c>
      <c r="F172" s="7" t="s">
        <v>8</v>
      </c>
      <c r="G172" s="6" t="s">
        <v>9</v>
      </c>
      <c r="H172" s="7" t="s">
        <v>8</v>
      </c>
      <c r="I172" s="6" t="s">
        <v>9</v>
      </c>
      <c r="J172" s="60"/>
      <c r="L172" s="11" t="s">
        <v>0</v>
      </c>
      <c r="M172" s="5" t="s">
        <v>8</v>
      </c>
      <c r="N172" s="6" t="s">
        <v>9</v>
      </c>
      <c r="O172" s="7" t="s">
        <v>8</v>
      </c>
      <c r="P172" s="6" t="s">
        <v>9</v>
      </c>
      <c r="Q172" s="7" t="s">
        <v>8</v>
      </c>
      <c r="R172" s="6" t="s">
        <v>9</v>
      </c>
      <c r="S172" s="7" t="s">
        <v>8</v>
      </c>
      <c r="T172" s="6" t="s">
        <v>9</v>
      </c>
      <c r="W172" s="11" t="s">
        <v>0</v>
      </c>
      <c r="X172" s="5" t="s">
        <v>8</v>
      </c>
      <c r="Y172" s="6" t="s">
        <v>9</v>
      </c>
      <c r="Z172" s="7" t="s">
        <v>8</v>
      </c>
      <c r="AA172" s="6" t="s">
        <v>9</v>
      </c>
      <c r="AB172" s="7" t="s">
        <v>8</v>
      </c>
      <c r="AC172" s="6" t="s">
        <v>9</v>
      </c>
      <c r="AD172" s="7" t="s">
        <v>8</v>
      </c>
      <c r="AE172" s="6" t="s">
        <v>9</v>
      </c>
      <c r="AH172" s="11" t="s">
        <v>0</v>
      </c>
      <c r="AI172" s="5" t="s">
        <v>8</v>
      </c>
      <c r="AJ172" s="6" t="s">
        <v>9</v>
      </c>
      <c r="AK172" s="7" t="s">
        <v>8</v>
      </c>
      <c r="AL172" s="6" t="s">
        <v>9</v>
      </c>
      <c r="AM172" s="7" t="s">
        <v>8</v>
      </c>
      <c r="AN172" s="6" t="s">
        <v>9</v>
      </c>
      <c r="AO172" s="7" t="s">
        <v>8</v>
      </c>
      <c r="AP172" s="6" t="s">
        <v>9</v>
      </c>
      <c r="AS172" s="11" t="s">
        <v>0</v>
      </c>
      <c r="AT172" s="5" t="s">
        <v>8</v>
      </c>
      <c r="AU172" s="6" t="s">
        <v>9</v>
      </c>
      <c r="AV172" s="7" t="s">
        <v>8</v>
      </c>
      <c r="AW172" s="6" t="s">
        <v>9</v>
      </c>
      <c r="AX172" s="7" t="s">
        <v>8</v>
      </c>
      <c r="AY172" s="6" t="s">
        <v>9</v>
      </c>
      <c r="AZ172" s="5" t="s">
        <v>8</v>
      </c>
      <c r="BA172" s="6" t="s">
        <v>9</v>
      </c>
    </row>
    <row r="173" spans="1:55" ht="15" thickTop="1" x14ac:dyDescent="0.3">
      <c r="A173" s="1" t="s">
        <v>4</v>
      </c>
      <c r="B173" s="24">
        <v>1</v>
      </c>
      <c r="C173" s="22">
        <v>1</v>
      </c>
      <c r="D173" s="51">
        <v>4</v>
      </c>
      <c r="E173" s="48">
        <v>4</v>
      </c>
      <c r="F173" s="18">
        <v>3</v>
      </c>
      <c r="G173" s="19">
        <v>3</v>
      </c>
      <c r="H173" s="8" t="s">
        <v>18</v>
      </c>
      <c r="I173" s="9" t="s">
        <v>18</v>
      </c>
      <c r="J173" s="60">
        <f t="shared" si="23"/>
        <v>4</v>
      </c>
      <c r="K173" s="44">
        <f>IF(A169=TRUE,J173*I169,0)</f>
        <v>20</v>
      </c>
      <c r="L173" s="1" t="s">
        <v>4</v>
      </c>
      <c r="M173" s="24">
        <v>1</v>
      </c>
      <c r="N173" s="22">
        <v>1</v>
      </c>
      <c r="O173" s="51">
        <v>4</v>
      </c>
      <c r="P173" s="48">
        <v>4</v>
      </c>
      <c r="Q173" s="18">
        <v>3</v>
      </c>
      <c r="R173" s="19">
        <v>3</v>
      </c>
      <c r="S173" s="8" t="s">
        <v>18</v>
      </c>
      <c r="T173" s="9" t="s">
        <v>18</v>
      </c>
      <c r="U173" s="60">
        <f>MAX(M173:T173)</f>
        <v>4</v>
      </c>
      <c r="V173" s="44">
        <f>IF($A169=TRUE,U173*$I169,0)</f>
        <v>20</v>
      </c>
      <c r="W173" s="1" t="s">
        <v>4</v>
      </c>
      <c r="X173" s="24">
        <v>1</v>
      </c>
      <c r="Y173" s="22">
        <v>1</v>
      </c>
      <c r="Z173" s="51">
        <v>4</v>
      </c>
      <c r="AA173" s="48">
        <v>4</v>
      </c>
      <c r="AB173" s="18">
        <v>3</v>
      </c>
      <c r="AC173" s="19">
        <v>3</v>
      </c>
      <c r="AD173" s="8" t="s">
        <v>18</v>
      </c>
      <c r="AE173" s="9" t="s">
        <v>18</v>
      </c>
      <c r="AF173" s="60">
        <f>MAX(X173:AE173)</f>
        <v>4</v>
      </c>
      <c r="AG173" s="44">
        <f>IF($A169=TRUE,AF173*$I169,0)</f>
        <v>20</v>
      </c>
      <c r="AH173" s="1" t="s">
        <v>4</v>
      </c>
      <c r="AI173" s="24">
        <v>1</v>
      </c>
      <c r="AJ173" s="22">
        <v>1</v>
      </c>
      <c r="AK173" s="51">
        <v>4</v>
      </c>
      <c r="AL173" s="48">
        <v>4</v>
      </c>
      <c r="AM173" s="18">
        <v>3</v>
      </c>
      <c r="AN173" s="19">
        <v>3</v>
      </c>
      <c r="AO173" s="8" t="s">
        <v>18</v>
      </c>
      <c r="AP173" s="9" t="s">
        <v>18</v>
      </c>
      <c r="AQ173" s="60">
        <f>MAX(AI173:AP173)</f>
        <v>4</v>
      </c>
      <c r="AR173" s="44">
        <f>IF($A169=TRUE,AQ173*$I169,0)</f>
        <v>20</v>
      </c>
      <c r="AS173" s="1" t="s">
        <v>4</v>
      </c>
      <c r="AT173" s="8" t="s">
        <v>18</v>
      </c>
      <c r="AU173" s="9" t="s">
        <v>18</v>
      </c>
      <c r="AV173" s="8" t="s">
        <v>18</v>
      </c>
      <c r="AW173" s="9" t="s">
        <v>18</v>
      </c>
      <c r="AX173" s="8" t="s">
        <v>18</v>
      </c>
      <c r="AY173" s="9" t="s">
        <v>18</v>
      </c>
      <c r="AZ173" s="8" t="s">
        <v>18</v>
      </c>
      <c r="BA173" s="9" t="s">
        <v>18</v>
      </c>
      <c r="BB173" s="60">
        <f>MAX(AT173:BA173)</f>
        <v>0</v>
      </c>
      <c r="BC173" s="44">
        <f>IF($A169=TRUE,BB173*$I169,0)</f>
        <v>0</v>
      </c>
    </row>
    <row r="174" spans="1:55" x14ac:dyDescent="0.3">
      <c r="A174" s="1" t="s">
        <v>5</v>
      </c>
      <c r="B174" s="54">
        <v>1</v>
      </c>
      <c r="C174" s="22">
        <v>1</v>
      </c>
      <c r="D174" s="8" t="s">
        <v>18</v>
      </c>
      <c r="E174" s="9" t="s">
        <v>18</v>
      </c>
      <c r="F174" s="18">
        <v>3</v>
      </c>
      <c r="G174" s="19">
        <v>3</v>
      </c>
      <c r="H174" s="8" t="s">
        <v>18</v>
      </c>
      <c r="I174" s="9" t="s">
        <v>18</v>
      </c>
      <c r="J174" s="60">
        <f t="shared" si="23"/>
        <v>3</v>
      </c>
      <c r="K174" s="44">
        <f>IF(A169=TRUE,J174*I169,0)</f>
        <v>15</v>
      </c>
      <c r="L174" s="1" t="s">
        <v>5</v>
      </c>
      <c r="M174" s="54">
        <v>1</v>
      </c>
      <c r="N174" s="22">
        <v>1</v>
      </c>
      <c r="O174" s="8" t="s">
        <v>18</v>
      </c>
      <c r="P174" s="9" t="s">
        <v>18</v>
      </c>
      <c r="Q174" s="18">
        <v>3</v>
      </c>
      <c r="R174" s="19">
        <v>3</v>
      </c>
      <c r="S174" s="8" t="s">
        <v>18</v>
      </c>
      <c r="T174" s="9" t="s">
        <v>18</v>
      </c>
      <c r="U174" s="60">
        <f t="shared" ref="U174:U182" si="36">MAX(M174:T174)</f>
        <v>3</v>
      </c>
      <c r="V174" s="44">
        <f>IF($A169=TRUE,U174*$I169,0)</f>
        <v>15</v>
      </c>
      <c r="W174" s="1" t="s">
        <v>5</v>
      </c>
      <c r="X174" s="54">
        <v>1</v>
      </c>
      <c r="Y174" s="22">
        <v>1</v>
      </c>
      <c r="Z174" s="8" t="s">
        <v>18</v>
      </c>
      <c r="AA174" s="9" t="s">
        <v>18</v>
      </c>
      <c r="AB174" s="18">
        <v>3</v>
      </c>
      <c r="AC174" s="19">
        <v>3</v>
      </c>
      <c r="AD174" s="8" t="s">
        <v>18</v>
      </c>
      <c r="AE174" s="9" t="s">
        <v>18</v>
      </c>
      <c r="AF174" s="60">
        <f t="shared" ref="AF174:AF182" si="37">MAX(X174:AE174)</f>
        <v>3</v>
      </c>
      <c r="AG174" s="44">
        <f>IF($A169=TRUE,AF174*$I169,0)</f>
        <v>15</v>
      </c>
      <c r="AH174" s="1" t="s">
        <v>5</v>
      </c>
      <c r="AI174" s="54">
        <v>1</v>
      </c>
      <c r="AJ174" s="22">
        <v>1</v>
      </c>
      <c r="AK174" s="8" t="s">
        <v>18</v>
      </c>
      <c r="AL174" s="9" t="s">
        <v>18</v>
      </c>
      <c r="AM174" s="18">
        <v>3</v>
      </c>
      <c r="AN174" s="19">
        <v>3</v>
      </c>
      <c r="AO174" s="8" t="s">
        <v>18</v>
      </c>
      <c r="AP174" s="9" t="s">
        <v>18</v>
      </c>
      <c r="AQ174" s="60">
        <f t="shared" ref="AQ174:AQ182" si="38">MAX(AI174:AP174)</f>
        <v>3</v>
      </c>
      <c r="AR174" s="44">
        <f>IF($A169=TRUE,AQ174*$I169,0)</f>
        <v>15</v>
      </c>
      <c r="AS174" s="1" t="s">
        <v>5</v>
      </c>
      <c r="AT174" s="8" t="s">
        <v>18</v>
      </c>
      <c r="AU174" s="9" t="s">
        <v>18</v>
      </c>
      <c r="AV174" s="8" t="s">
        <v>18</v>
      </c>
      <c r="AW174" s="9" t="s">
        <v>18</v>
      </c>
      <c r="AX174" s="8" t="s">
        <v>18</v>
      </c>
      <c r="AY174" s="9" t="s">
        <v>18</v>
      </c>
      <c r="AZ174" s="8" t="s">
        <v>18</v>
      </c>
      <c r="BA174" s="9" t="s">
        <v>18</v>
      </c>
      <c r="BB174" s="60">
        <f t="shared" ref="BB174:BB182" si="39">MAX(AT174:BA174)</f>
        <v>0</v>
      </c>
      <c r="BC174" s="44">
        <f>IF($A169=TRUE,BB174*$I169,0)</f>
        <v>0</v>
      </c>
    </row>
    <row r="175" spans="1:55" x14ac:dyDescent="0.3">
      <c r="A175" s="1" t="s">
        <v>6</v>
      </c>
      <c r="B175" s="54">
        <v>1</v>
      </c>
      <c r="C175" s="22">
        <v>1</v>
      </c>
      <c r="D175" s="8" t="s">
        <v>18</v>
      </c>
      <c r="E175" s="9" t="s">
        <v>18</v>
      </c>
      <c r="F175" s="18">
        <v>3</v>
      </c>
      <c r="G175" s="19">
        <v>3</v>
      </c>
      <c r="H175" s="8" t="s">
        <v>18</v>
      </c>
      <c r="I175" s="9" t="s">
        <v>18</v>
      </c>
      <c r="J175" s="60">
        <f t="shared" si="23"/>
        <v>3</v>
      </c>
      <c r="K175" s="44">
        <f>IF(A169=TRUE,J175*I169,0)</f>
        <v>15</v>
      </c>
      <c r="L175" s="1" t="s">
        <v>6</v>
      </c>
      <c r="M175" s="54">
        <v>1</v>
      </c>
      <c r="N175" s="22">
        <v>1</v>
      </c>
      <c r="O175" s="8" t="s">
        <v>18</v>
      </c>
      <c r="P175" s="9" t="s">
        <v>18</v>
      </c>
      <c r="Q175" s="18">
        <v>3</v>
      </c>
      <c r="R175" s="19">
        <v>3</v>
      </c>
      <c r="S175" s="8" t="s">
        <v>18</v>
      </c>
      <c r="T175" s="9" t="s">
        <v>18</v>
      </c>
      <c r="U175" s="60">
        <f t="shared" si="36"/>
        <v>3</v>
      </c>
      <c r="V175" s="44">
        <f>IF($A169=TRUE,U175*$I169,0)</f>
        <v>15</v>
      </c>
      <c r="W175" s="1" t="s">
        <v>6</v>
      </c>
      <c r="X175" s="54">
        <v>1</v>
      </c>
      <c r="Y175" s="22">
        <v>1</v>
      </c>
      <c r="Z175" s="8" t="s">
        <v>18</v>
      </c>
      <c r="AA175" s="9" t="s">
        <v>18</v>
      </c>
      <c r="AB175" s="18">
        <v>3</v>
      </c>
      <c r="AC175" s="19">
        <v>3</v>
      </c>
      <c r="AD175" s="8" t="s">
        <v>18</v>
      </c>
      <c r="AE175" s="9" t="s">
        <v>18</v>
      </c>
      <c r="AF175" s="60">
        <f t="shared" si="37"/>
        <v>3</v>
      </c>
      <c r="AG175" s="44">
        <f>IF($A169=TRUE,AF175*$I169,0)</f>
        <v>15</v>
      </c>
      <c r="AH175" s="1" t="s">
        <v>6</v>
      </c>
      <c r="AI175" s="54">
        <v>1</v>
      </c>
      <c r="AJ175" s="22">
        <v>1</v>
      </c>
      <c r="AK175" s="8" t="s">
        <v>18</v>
      </c>
      <c r="AL175" s="9" t="s">
        <v>18</v>
      </c>
      <c r="AM175" s="18">
        <v>3</v>
      </c>
      <c r="AN175" s="19">
        <v>3</v>
      </c>
      <c r="AO175" s="8" t="s">
        <v>18</v>
      </c>
      <c r="AP175" s="9" t="s">
        <v>18</v>
      </c>
      <c r="AQ175" s="60">
        <f t="shared" si="38"/>
        <v>3</v>
      </c>
      <c r="AR175" s="44">
        <f>IF($A169=TRUE,AQ175*$I169,0)</f>
        <v>15</v>
      </c>
      <c r="AS175" s="1" t="s">
        <v>6</v>
      </c>
      <c r="AT175" s="8" t="s">
        <v>18</v>
      </c>
      <c r="AU175" s="9" t="s">
        <v>18</v>
      </c>
      <c r="AV175" s="8" t="s">
        <v>18</v>
      </c>
      <c r="AW175" s="9" t="s">
        <v>18</v>
      </c>
      <c r="AX175" s="8" t="s">
        <v>18</v>
      </c>
      <c r="AY175" s="9" t="s">
        <v>18</v>
      </c>
      <c r="AZ175" s="8" t="s">
        <v>18</v>
      </c>
      <c r="BA175" s="9" t="s">
        <v>18</v>
      </c>
      <c r="BB175" s="60">
        <f t="shared" si="39"/>
        <v>0</v>
      </c>
      <c r="BC175" s="44">
        <f>IF($A169=TRUE,BB175*$I169,0)</f>
        <v>0</v>
      </c>
    </row>
    <row r="176" spans="1:55" x14ac:dyDescent="0.3">
      <c r="A176" s="1" t="s">
        <v>1</v>
      </c>
      <c r="B176" s="8" t="s">
        <v>18</v>
      </c>
      <c r="C176" s="9" t="s">
        <v>18</v>
      </c>
      <c r="D176" s="8" t="s">
        <v>18</v>
      </c>
      <c r="E176" s="9" t="s">
        <v>18</v>
      </c>
      <c r="F176" s="8" t="s">
        <v>18</v>
      </c>
      <c r="G176" s="9" t="s">
        <v>18</v>
      </c>
      <c r="H176" s="21">
        <v>5</v>
      </c>
      <c r="I176" s="26">
        <v>5</v>
      </c>
      <c r="J176" s="60">
        <f t="shared" si="23"/>
        <v>5</v>
      </c>
      <c r="K176" s="44">
        <f>IF(A169=TRUE,J176*I169,0)</f>
        <v>25</v>
      </c>
      <c r="L176" s="1" t="s">
        <v>1</v>
      </c>
      <c r="M176" s="8" t="s">
        <v>18</v>
      </c>
      <c r="N176" s="9" t="s">
        <v>18</v>
      </c>
      <c r="O176" s="8" t="s">
        <v>18</v>
      </c>
      <c r="P176" s="9" t="s">
        <v>18</v>
      </c>
      <c r="Q176" s="8" t="s">
        <v>18</v>
      </c>
      <c r="R176" s="9" t="s">
        <v>18</v>
      </c>
      <c r="S176" s="21">
        <v>5</v>
      </c>
      <c r="T176" s="26">
        <v>5</v>
      </c>
      <c r="U176" s="60">
        <f t="shared" si="36"/>
        <v>5</v>
      </c>
      <c r="V176" s="44">
        <f>IF($A169=TRUE,U176*$I169,0)</f>
        <v>25</v>
      </c>
      <c r="W176" s="1" t="s">
        <v>1</v>
      </c>
      <c r="X176" s="8" t="s">
        <v>18</v>
      </c>
      <c r="Y176" s="9" t="s">
        <v>18</v>
      </c>
      <c r="Z176" s="8" t="s">
        <v>18</v>
      </c>
      <c r="AA176" s="9" t="s">
        <v>18</v>
      </c>
      <c r="AB176" s="8" t="s">
        <v>18</v>
      </c>
      <c r="AC176" s="9" t="s">
        <v>18</v>
      </c>
      <c r="AD176" s="21">
        <v>5</v>
      </c>
      <c r="AE176" s="26">
        <v>5</v>
      </c>
      <c r="AF176" s="60">
        <f t="shared" si="37"/>
        <v>5</v>
      </c>
      <c r="AG176" s="44">
        <f>IF($A169=TRUE,AF176*$I169,0)</f>
        <v>25</v>
      </c>
      <c r="AH176" s="1" t="s">
        <v>1</v>
      </c>
      <c r="AI176" s="8" t="s">
        <v>18</v>
      </c>
      <c r="AJ176" s="9" t="s">
        <v>18</v>
      </c>
      <c r="AK176" s="8" t="s">
        <v>18</v>
      </c>
      <c r="AL176" s="9" t="s">
        <v>18</v>
      </c>
      <c r="AM176" s="8" t="s">
        <v>18</v>
      </c>
      <c r="AN176" s="9" t="s">
        <v>18</v>
      </c>
      <c r="AO176" s="21">
        <v>5</v>
      </c>
      <c r="AP176" s="26">
        <v>5</v>
      </c>
      <c r="AQ176" s="60">
        <f t="shared" si="38"/>
        <v>5</v>
      </c>
      <c r="AR176" s="44">
        <f>IF($A169=TRUE,AQ176*$I169,0)</f>
        <v>25</v>
      </c>
      <c r="AS176" s="1" t="s">
        <v>1</v>
      </c>
      <c r="AT176" s="8" t="s">
        <v>18</v>
      </c>
      <c r="AU176" s="9" t="s">
        <v>18</v>
      </c>
      <c r="AV176" s="8" t="s">
        <v>18</v>
      </c>
      <c r="AW176" s="9" t="s">
        <v>18</v>
      </c>
      <c r="AX176" s="8" t="s">
        <v>18</v>
      </c>
      <c r="AY176" s="9" t="s">
        <v>18</v>
      </c>
      <c r="AZ176" s="8" t="s">
        <v>18</v>
      </c>
      <c r="BA176" s="9" t="s">
        <v>18</v>
      </c>
      <c r="BB176" s="60">
        <f t="shared" si="39"/>
        <v>0</v>
      </c>
      <c r="BC176" s="44">
        <f>IF($A169=TRUE,BB176*$I169,0)</f>
        <v>0</v>
      </c>
    </row>
    <row r="177" spans="1:55" x14ac:dyDescent="0.3">
      <c r="A177" s="1" t="s">
        <v>16</v>
      </c>
      <c r="B177" s="8" t="s">
        <v>18</v>
      </c>
      <c r="C177" s="9" t="s">
        <v>18</v>
      </c>
      <c r="D177" s="8" t="s">
        <v>18</v>
      </c>
      <c r="E177" s="9" t="s">
        <v>18</v>
      </c>
      <c r="F177" s="8" t="s">
        <v>18</v>
      </c>
      <c r="G177" s="26">
        <v>5</v>
      </c>
      <c r="H177" s="8" t="s">
        <v>18</v>
      </c>
      <c r="I177" s="26">
        <v>5</v>
      </c>
      <c r="J177" s="60">
        <f t="shared" si="23"/>
        <v>5</v>
      </c>
      <c r="K177" s="44">
        <f>IF(A169=TRUE,J177*I169,0)</f>
        <v>25</v>
      </c>
      <c r="L177" s="1" t="s">
        <v>16</v>
      </c>
      <c r="M177" s="8" t="s">
        <v>18</v>
      </c>
      <c r="N177" s="9" t="s">
        <v>18</v>
      </c>
      <c r="O177" s="8" t="s">
        <v>18</v>
      </c>
      <c r="P177" s="9" t="s">
        <v>18</v>
      </c>
      <c r="Q177" s="8" t="s">
        <v>18</v>
      </c>
      <c r="R177" s="26">
        <v>5</v>
      </c>
      <c r="S177" s="8" t="s">
        <v>18</v>
      </c>
      <c r="T177" s="26">
        <v>5</v>
      </c>
      <c r="U177" s="60">
        <f t="shared" si="36"/>
        <v>5</v>
      </c>
      <c r="V177" s="44">
        <f>IF($A169=TRUE,U177*$I169,0)</f>
        <v>25</v>
      </c>
      <c r="W177" s="1" t="s">
        <v>16</v>
      </c>
      <c r="X177" s="8" t="s">
        <v>18</v>
      </c>
      <c r="Y177" s="9" t="s">
        <v>18</v>
      </c>
      <c r="Z177" s="8" t="s">
        <v>18</v>
      </c>
      <c r="AA177" s="9" t="s">
        <v>18</v>
      </c>
      <c r="AB177" s="8" t="s">
        <v>18</v>
      </c>
      <c r="AC177" s="26">
        <v>5</v>
      </c>
      <c r="AD177" s="8" t="s">
        <v>18</v>
      </c>
      <c r="AE177" s="26">
        <v>5</v>
      </c>
      <c r="AF177" s="60">
        <f t="shared" si="37"/>
        <v>5</v>
      </c>
      <c r="AG177" s="44">
        <f>IF($A169=TRUE,AF177*$I169,0)</f>
        <v>25</v>
      </c>
      <c r="AH177" s="1" t="s">
        <v>16</v>
      </c>
      <c r="AI177" s="8" t="s">
        <v>18</v>
      </c>
      <c r="AJ177" s="9" t="s">
        <v>18</v>
      </c>
      <c r="AK177" s="8" t="s">
        <v>18</v>
      </c>
      <c r="AL177" s="9" t="s">
        <v>18</v>
      </c>
      <c r="AM177" s="8" t="s">
        <v>18</v>
      </c>
      <c r="AN177" s="26">
        <v>5</v>
      </c>
      <c r="AO177" s="8" t="s">
        <v>18</v>
      </c>
      <c r="AP177" s="26">
        <v>5</v>
      </c>
      <c r="AQ177" s="60">
        <f t="shared" si="38"/>
        <v>5</v>
      </c>
      <c r="AR177" s="44">
        <f>IF($A169=TRUE,AQ177*$I169,0)</f>
        <v>25</v>
      </c>
      <c r="AS177" s="1" t="s">
        <v>16</v>
      </c>
      <c r="AT177" s="8" t="s">
        <v>18</v>
      </c>
      <c r="AU177" s="9" t="s">
        <v>18</v>
      </c>
      <c r="AV177" s="8" t="s">
        <v>18</v>
      </c>
      <c r="AW177" s="9" t="s">
        <v>18</v>
      </c>
      <c r="AX177" s="8" t="s">
        <v>18</v>
      </c>
      <c r="AY177" s="9" t="s">
        <v>18</v>
      </c>
      <c r="AZ177" s="8" t="s">
        <v>18</v>
      </c>
      <c r="BA177" s="9" t="s">
        <v>18</v>
      </c>
      <c r="BB177" s="60">
        <f t="shared" si="39"/>
        <v>0</v>
      </c>
      <c r="BC177" s="44">
        <f>IF($A169=TRUE,BB177*$I169,0)</f>
        <v>0</v>
      </c>
    </row>
    <row r="178" spans="1:55" x14ac:dyDescent="0.3">
      <c r="A178" s="1" t="s">
        <v>17</v>
      </c>
      <c r="B178" s="8" t="s">
        <v>18</v>
      </c>
      <c r="C178" s="9" t="s">
        <v>18</v>
      </c>
      <c r="D178" s="25">
        <v>4</v>
      </c>
      <c r="E178" s="17">
        <v>4</v>
      </c>
      <c r="F178" s="8" t="s">
        <v>18</v>
      </c>
      <c r="G178" s="9" t="s">
        <v>18</v>
      </c>
      <c r="H178" s="25">
        <v>4</v>
      </c>
      <c r="I178" s="17">
        <v>4</v>
      </c>
      <c r="J178" s="60">
        <f t="shared" si="23"/>
        <v>4</v>
      </c>
      <c r="K178" s="44">
        <f>IF(A169=TRUE,J178*I169,0)</f>
        <v>20</v>
      </c>
      <c r="L178" s="1" t="s">
        <v>17</v>
      </c>
      <c r="M178" s="8" t="s">
        <v>18</v>
      </c>
      <c r="N178" s="9" t="s">
        <v>18</v>
      </c>
      <c r="O178" s="25">
        <v>4</v>
      </c>
      <c r="P178" s="17">
        <v>4</v>
      </c>
      <c r="Q178" s="8" t="s">
        <v>18</v>
      </c>
      <c r="R178" s="9" t="s">
        <v>18</v>
      </c>
      <c r="S178" s="25">
        <v>4</v>
      </c>
      <c r="T178" s="17">
        <v>4</v>
      </c>
      <c r="U178" s="60">
        <f t="shared" si="36"/>
        <v>4</v>
      </c>
      <c r="V178" s="44">
        <f>IF($A169=TRUE,U178*$I169,0)</f>
        <v>20</v>
      </c>
      <c r="W178" s="1" t="s">
        <v>17</v>
      </c>
      <c r="X178" s="8" t="s">
        <v>18</v>
      </c>
      <c r="Y178" s="9" t="s">
        <v>18</v>
      </c>
      <c r="Z178" s="25">
        <v>4</v>
      </c>
      <c r="AA178" s="17">
        <v>4</v>
      </c>
      <c r="AB178" s="8" t="s">
        <v>18</v>
      </c>
      <c r="AC178" s="9" t="s">
        <v>18</v>
      </c>
      <c r="AD178" s="25">
        <v>4</v>
      </c>
      <c r="AE178" s="17">
        <v>4</v>
      </c>
      <c r="AF178" s="60">
        <f t="shared" si="37"/>
        <v>4</v>
      </c>
      <c r="AG178" s="44">
        <f>IF($A169=TRUE,AF178*$I169,0)</f>
        <v>20</v>
      </c>
      <c r="AH178" s="1" t="s">
        <v>17</v>
      </c>
      <c r="AI178" s="8" t="s">
        <v>18</v>
      </c>
      <c r="AJ178" s="9" t="s">
        <v>18</v>
      </c>
      <c r="AK178" s="25">
        <v>4</v>
      </c>
      <c r="AL178" s="17">
        <v>4</v>
      </c>
      <c r="AM178" s="8" t="s">
        <v>18</v>
      </c>
      <c r="AN178" s="9" t="s">
        <v>18</v>
      </c>
      <c r="AO178" s="25">
        <v>4</v>
      </c>
      <c r="AP178" s="17">
        <v>4</v>
      </c>
      <c r="AQ178" s="60">
        <f t="shared" si="38"/>
        <v>4</v>
      </c>
      <c r="AR178" s="44">
        <f>IF($A169=TRUE,AQ178*$I169,0)</f>
        <v>20</v>
      </c>
      <c r="AS178" s="1" t="s">
        <v>17</v>
      </c>
      <c r="AT178" s="8" t="s">
        <v>18</v>
      </c>
      <c r="AU178" s="9" t="s">
        <v>18</v>
      </c>
      <c r="AV178" s="25">
        <v>4</v>
      </c>
      <c r="AW178" s="17">
        <v>4</v>
      </c>
      <c r="AX178" s="8" t="s">
        <v>18</v>
      </c>
      <c r="AY178" s="9" t="s">
        <v>18</v>
      </c>
      <c r="AZ178" s="73">
        <v>4</v>
      </c>
      <c r="BA178" s="74">
        <v>3</v>
      </c>
      <c r="BB178" s="60">
        <f t="shared" si="39"/>
        <v>4</v>
      </c>
      <c r="BC178" s="44">
        <f>IF($A169=TRUE,BB178*$I169,0)</f>
        <v>20</v>
      </c>
    </row>
    <row r="179" spans="1:55" x14ac:dyDescent="0.3">
      <c r="A179" s="1" t="s">
        <v>2</v>
      </c>
      <c r="B179" s="24">
        <v>1</v>
      </c>
      <c r="C179" s="22">
        <v>1</v>
      </c>
      <c r="D179" s="8" t="s">
        <v>18</v>
      </c>
      <c r="E179" s="9" t="s">
        <v>18</v>
      </c>
      <c r="F179" s="18">
        <v>3</v>
      </c>
      <c r="G179" s="19">
        <v>3</v>
      </c>
      <c r="H179" s="8" t="s">
        <v>18</v>
      </c>
      <c r="I179" s="9" t="s">
        <v>18</v>
      </c>
      <c r="J179" s="60">
        <f t="shared" si="23"/>
        <v>3</v>
      </c>
      <c r="K179" s="44">
        <f>IF(A169=TRUE,J179*I169,0)</f>
        <v>15</v>
      </c>
      <c r="L179" s="1" t="s">
        <v>2</v>
      </c>
      <c r="M179" s="24">
        <v>1</v>
      </c>
      <c r="N179" s="22">
        <v>1</v>
      </c>
      <c r="O179" s="8" t="s">
        <v>18</v>
      </c>
      <c r="P179" s="9" t="s">
        <v>18</v>
      </c>
      <c r="Q179" s="18">
        <v>3</v>
      </c>
      <c r="R179" s="19">
        <v>3</v>
      </c>
      <c r="S179" s="8" t="s">
        <v>18</v>
      </c>
      <c r="T179" s="9" t="s">
        <v>18</v>
      </c>
      <c r="U179" s="60">
        <f t="shared" si="36"/>
        <v>3</v>
      </c>
      <c r="V179" s="44">
        <f>IF($A169=TRUE,U179*$I169,0)</f>
        <v>15</v>
      </c>
      <c r="W179" s="1" t="s">
        <v>2</v>
      </c>
      <c r="X179" s="24">
        <v>1</v>
      </c>
      <c r="Y179" s="22">
        <v>1</v>
      </c>
      <c r="Z179" s="8" t="s">
        <v>18</v>
      </c>
      <c r="AA179" s="9" t="s">
        <v>18</v>
      </c>
      <c r="AB179" s="18">
        <v>3</v>
      </c>
      <c r="AC179" s="19">
        <v>3</v>
      </c>
      <c r="AD179" s="8" t="s">
        <v>18</v>
      </c>
      <c r="AE179" s="9" t="s">
        <v>18</v>
      </c>
      <c r="AF179" s="60">
        <f t="shared" si="37"/>
        <v>3</v>
      </c>
      <c r="AG179" s="44">
        <f>IF($A169=TRUE,AF179*$I169,0)</f>
        <v>15</v>
      </c>
      <c r="AH179" s="1" t="s">
        <v>2</v>
      </c>
      <c r="AI179" s="24">
        <v>1</v>
      </c>
      <c r="AJ179" s="22">
        <v>1</v>
      </c>
      <c r="AK179" s="8" t="s">
        <v>18</v>
      </c>
      <c r="AL179" s="9" t="s">
        <v>18</v>
      </c>
      <c r="AM179" s="18">
        <v>3</v>
      </c>
      <c r="AN179" s="19">
        <v>3</v>
      </c>
      <c r="AO179" s="8" t="s">
        <v>18</v>
      </c>
      <c r="AP179" s="9" t="s">
        <v>18</v>
      </c>
      <c r="AQ179" s="60">
        <f t="shared" si="38"/>
        <v>3</v>
      </c>
      <c r="AR179" s="44">
        <f>IF($A169=TRUE,AQ179*$I169,0)</f>
        <v>15</v>
      </c>
      <c r="AS179" s="1" t="s">
        <v>2</v>
      </c>
      <c r="AT179" s="8" t="s">
        <v>18</v>
      </c>
      <c r="AU179" s="9" t="s">
        <v>18</v>
      </c>
      <c r="AV179" s="8" t="s">
        <v>18</v>
      </c>
      <c r="AW179" s="9" t="s">
        <v>18</v>
      </c>
      <c r="AX179" s="8" t="s">
        <v>18</v>
      </c>
      <c r="AY179" s="9" t="s">
        <v>18</v>
      </c>
      <c r="AZ179" s="8" t="s">
        <v>18</v>
      </c>
      <c r="BA179" s="9" t="s">
        <v>18</v>
      </c>
      <c r="BB179" s="60">
        <f t="shared" si="39"/>
        <v>0</v>
      </c>
      <c r="BC179" s="44">
        <f>IF($A169=TRUE,BB179*$I169,0)</f>
        <v>0</v>
      </c>
    </row>
    <row r="180" spans="1:55" x14ac:dyDescent="0.3">
      <c r="A180" s="1" t="s">
        <v>20</v>
      </c>
      <c r="B180" s="8" t="s">
        <v>18</v>
      </c>
      <c r="C180" s="9" t="s">
        <v>18</v>
      </c>
      <c r="D180" s="21">
        <v>5</v>
      </c>
      <c r="E180" s="26">
        <v>5</v>
      </c>
      <c r="F180" s="8" t="s">
        <v>18</v>
      </c>
      <c r="G180" s="9" t="s">
        <v>18</v>
      </c>
      <c r="H180" s="8" t="s">
        <v>18</v>
      </c>
      <c r="I180" s="26">
        <v>5</v>
      </c>
      <c r="J180" s="60">
        <f t="shared" si="23"/>
        <v>5</v>
      </c>
      <c r="K180" s="44">
        <f>IF(A169=TRUE,J180*I169,0)</f>
        <v>25</v>
      </c>
      <c r="L180" s="1" t="s">
        <v>20</v>
      </c>
      <c r="M180" s="8" t="s">
        <v>18</v>
      </c>
      <c r="N180" s="9" t="s">
        <v>18</v>
      </c>
      <c r="O180" s="21">
        <v>5</v>
      </c>
      <c r="P180" s="26">
        <v>5</v>
      </c>
      <c r="Q180" s="8" t="s">
        <v>18</v>
      </c>
      <c r="R180" s="9" t="s">
        <v>18</v>
      </c>
      <c r="S180" s="8" t="s">
        <v>18</v>
      </c>
      <c r="T180" s="26">
        <v>5</v>
      </c>
      <c r="U180" s="60">
        <f t="shared" si="36"/>
        <v>5</v>
      </c>
      <c r="V180" s="44">
        <f>IF($A169=TRUE,U180*$I169,0)</f>
        <v>25</v>
      </c>
      <c r="W180" s="1" t="s">
        <v>20</v>
      </c>
      <c r="X180" s="8" t="s">
        <v>18</v>
      </c>
      <c r="Y180" s="9" t="s">
        <v>18</v>
      </c>
      <c r="Z180" s="21">
        <v>5</v>
      </c>
      <c r="AA180" s="26">
        <v>5</v>
      </c>
      <c r="AB180" s="8" t="s">
        <v>18</v>
      </c>
      <c r="AC180" s="9" t="s">
        <v>18</v>
      </c>
      <c r="AD180" s="8" t="s">
        <v>18</v>
      </c>
      <c r="AE180" s="26">
        <v>5</v>
      </c>
      <c r="AF180" s="60">
        <f t="shared" si="37"/>
        <v>5</v>
      </c>
      <c r="AG180" s="44">
        <f>IF($A169=TRUE,AF180*$I169,0)</f>
        <v>25</v>
      </c>
      <c r="AH180" s="1" t="s">
        <v>20</v>
      </c>
      <c r="AI180" s="8" t="s">
        <v>18</v>
      </c>
      <c r="AJ180" s="9" t="s">
        <v>18</v>
      </c>
      <c r="AK180" s="21">
        <v>5</v>
      </c>
      <c r="AL180" s="26">
        <v>5</v>
      </c>
      <c r="AM180" s="8" t="s">
        <v>18</v>
      </c>
      <c r="AN180" s="9" t="s">
        <v>18</v>
      </c>
      <c r="AO180" s="8" t="s">
        <v>18</v>
      </c>
      <c r="AP180" s="26">
        <v>5</v>
      </c>
      <c r="AQ180" s="60">
        <f t="shared" si="38"/>
        <v>5</v>
      </c>
      <c r="AR180" s="44">
        <f>IF($A169=TRUE,AQ180*$I169,0)</f>
        <v>25</v>
      </c>
      <c r="AS180" s="1" t="s">
        <v>20</v>
      </c>
      <c r="AT180" s="8" t="s">
        <v>18</v>
      </c>
      <c r="AU180" s="9" t="s">
        <v>18</v>
      </c>
      <c r="AV180" s="8" t="s">
        <v>18</v>
      </c>
      <c r="AW180" s="9" t="s">
        <v>18</v>
      </c>
      <c r="AX180" s="8" t="s">
        <v>18</v>
      </c>
      <c r="AY180" s="9" t="s">
        <v>18</v>
      </c>
      <c r="AZ180" s="8" t="s">
        <v>18</v>
      </c>
      <c r="BA180" s="9" t="s">
        <v>18</v>
      </c>
      <c r="BB180" s="60">
        <f t="shared" si="39"/>
        <v>0</v>
      </c>
      <c r="BC180" s="44">
        <f>IF($A169=TRUE,BB180*$I169,0)</f>
        <v>0</v>
      </c>
    </row>
    <row r="181" spans="1:55" x14ac:dyDescent="0.3">
      <c r="A181" s="1" t="s">
        <v>3</v>
      </c>
      <c r="B181" s="8" t="s">
        <v>18</v>
      </c>
      <c r="C181" s="9" t="s">
        <v>18</v>
      </c>
      <c r="D181" s="18">
        <v>3</v>
      </c>
      <c r="E181" s="19">
        <v>3</v>
      </c>
      <c r="F181" s="8" t="s">
        <v>18</v>
      </c>
      <c r="G181" s="9" t="s">
        <v>18</v>
      </c>
      <c r="H181" s="8" t="s">
        <v>18</v>
      </c>
      <c r="I181" s="9" t="s">
        <v>18</v>
      </c>
      <c r="J181" s="60">
        <f t="shared" si="23"/>
        <v>3</v>
      </c>
      <c r="K181" s="44">
        <f>IF(A169=TRUE,J181*I169,0)</f>
        <v>15</v>
      </c>
      <c r="L181" s="1" t="s">
        <v>3</v>
      </c>
      <c r="M181" s="8" t="s">
        <v>18</v>
      </c>
      <c r="N181" s="9" t="s">
        <v>18</v>
      </c>
      <c r="O181" s="18">
        <v>3</v>
      </c>
      <c r="P181" s="19">
        <v>3</v>
      </c>
      <c r="Q181" s="8" t="s">
        <v>18</v>
      </c>
      <c r="R181" s="9" t="s">
        <v>18</v>
      </c>
      <c r="S181" s="8" t="s">
        <v>18</v>
      </c>
      <c r="T181" s="9" t="s">
        <v>18</v>
      </c>
      <c r="U181" s="60">
        <f t="shared" si="36"/>
        <v>3</v>
      </c>
      <c r="V181" s="44">
        <f>IF($A169=TRUE,U181*$I169,0)</f>
        <v>15</v>
      </c>
      <c r="W181" s="1" t="s">
        <v>3</v>
      </c>
      <c r="X181" s="8" t="s">
        <v>18</v>
      </c>
      <c r="Y181" s="9" t="s">
        <v>18</v>
      </c>
      <c r="Z181" s="18">
        <v>3</v>
      </c>
      <c r="AA181" s="19">
        <v>3</v>
      </c>
      <c r="AB181" s="8" t="s">
        <v>18</v>
      </c>
      <c r="AC181" s="9" t="s">
        <v>18</v>
      </c>
      <c r="AD181" s="8" t="s">
        <v>18</v>
      </c>
      <c r="AE181" s="9" t="s">
        <v>18</v>
      </c>
      <c r="AF181" s="60">
        <f t="shared" si="37"/>
        <v>3</v>
      </c>
      <c r="AG181" s="44">
        <f>IF($A169=TRUE,AF181*$I169,0)</f>
        <v>15</v>
      </c>
      <c r="AH181" s="1" t="s">
        <v>3</v>
      </c>
      <c r="AI181" s="8" t="s">
        <v>18</v>
      </c>
      <c r="AJ181" s="9" t="s">
        <v>18</v>
      </c>
      <c r="AK181" s="18">
        <v>3</v>
      </c>
      <c r="AL181" s="19">
        <v>3</v>
      </c>
      <c r="AM181" s="8" t="s">
        <v>18</v>
      </c>
      <c r="AN181" s="9" t="s">
        <v>18</v>
      </c>
      <c r="AO181" s="8" t="s">
        <v>18</v>
      </c>
      <c r="AP181" s="9" t="s">
        <v>18</v>
      </c>
      <c r="AQ181" s="60">
        <f t="shared" si="38"/>
        <v>3</v>
      </c>
      <c r="AR181" s="44">
        <f>IF($A169=TRUE,AQ181*$I169,0)</f>
        <v>15</v>
      </c>
      <c r="AS181" s="1" t="s">
        <v>3</v>
      </c>
      <c r="AT181" s="8" t="s">
        <v>18</v>
      </c>
      <c r="AU181" s="9" t="s">
        <v>18</v>
      </c>
      <c r="AV181" s="8" t="s">
        <v>18</v>
      </c>
      <c r="AW181" s="9" t="s">
        <v>18</v>
      </c>
      <c r="AX181" s="8" t="s">
        <v>18</v>
      </c>
      <c r="AY181" s="9" t="s">
        <v>18</v>
      </c>
      <c r="AZ181" s="73">
        <v>4</v>
      </c>
      <c r="BA181" s="74">
        <v>3</v>
      </c>
      <c r="BB181" s="60">
        <f t="shared" si="39"/>
        <v>4</v>
      </c>
      <c r="BC181" s="44">
        <f>IF($A169=TRUE,BB181*$I169,0)</f>
        <v>20</v>
      </c>
    </row>
    <row r="182" spans="1:55" x14ac:dyDescent="0.3">
      <c r="A182" s="13" t="s">
        <v>12</v>
      </c>
      <c r="B182" s="14" t="s">
        <v>18</v>
      </c>
      <c r="C182" s="15" t="s">
        <v>18</v>
      </c>
      <c r="D182" s="30">
        <v>3</v>
      </c>
      <c r="E182" s="32">
        <v>3</v>
      </c>
      <c r="F182" s="14" t="s">
        <v>18</v>
      </c>
      <c r="G182" s="15" t="s">
        <v>18</v>
      </c>
      <c r="H182" s="14" t="s">
        <v>18</v>
      </c>
      <c r="I182" s="15" t="s">
        <v>18</v>
      </c>
      <c r="J182" s="60">
        <f t="shared" si="23"/>
        <v>3</v>
      </c>
      <c r="K182" s="44">
        <f>IF(A169=TRUE,J182*I169,0)</f>
        <v>15</v>
      </c>
      <c r="L182" s="13" t="s">
        <v>12</v>
      </c>
      <c r="M182" s="14" t="s">
        <v>18</v>
      </c>
      <c r="N182" s="15" t="s">
        <v>18</v>
      </c>
      <c r="O182" s="30">
        <v>3</v>
      </c>
      <c r="P182" s="32">
        <v>3</v>
      </c>
      <c r="Q182" s="14" t="s">
        <v>18</v>
      </c>
      <c r="R182" s="15" t="s">
        <v>18</v>
      </c>
      <c r="S182" s="14" t="s">
        <v>18</v>
      </c>
      <c r="T182" s="15" t="s">
        <v>18</v>
      </c>
      <c r="U182" s="60">
        <f t="shared" si="36"/>
        <v>3</v>
      </c>
      <c r="V182" s="44">
        <f>IF($A169=TRUE,U182*$I169,0)</f>
        <v>15</v>
      </c>
      <c r="W182" s="13" t="s">
        <v>12</v>
      </c>
      <c r="X182" s="14" t="s">
        <v>18</v>
      </c>
      <c r="Y182" s="15" t="s">
        <v>18</v>
      </c>
      <c r="Z182" s="30">
        <v>3</v>
      </c>
      <c r="AA182" s="32">
        <v>3</v>
      </c>
      <c r="AB182" s="14" t="s">
        <v>18</v>
      </c>
      <c r="AC182" s="15" t="s">
        <v>18</v>
      </c>
      <c r="AD182" s="14" t="s">
        <v>18</v>
      </c>
      <c r="AE182" s="15" t="s">
        <v>18</v>
      </c>
      <c r="AF182" s="60">
        <f t="shared" si="37"/>
        <v>3</v>
      </c>
      <c r="AG182" s="44">
        <f>IF($A169=TRUE,AF182*$I169,0)</f>
        <v>15</v>
      </c>
      <c r="AH182" s="13" t="s">
        <v>12</v>
      </c>
      <c r="AI182" s="14" t="s">
        <v>18</v>
      </c>
      <c r="AJ182" s="15" t="s">
        <v>18</v>
      </c>
      <c r="AK182" s="30">
        <v>3</v>
      </c>
      <c r="AL182" s="32">
        <v>3</v>
      </c>
      <c r="AM182" s="14" t="s">
        <v>18</v>
      </c>
      <c r="AN182" s="15" t="s">
        <v>18</v>
      </c>
      <c r="AO182" s="14" t="s">
        <v>18</v>
      </c>
      <c r="AP182" s="15" t="s">
        <v>18</v>
      </c>
      <c r="AQ182" s="60">
        <f t="shared" si="38"/>
        <v>3</v>
      </c>
      <c r="AR182" s="44">
        <f>IF($A169=TRUE,AQ182*$I169,0)</f>
        <v>15</v>
      </c>
      <c r="AS182" s="13" t="s">
        <v>12</v>
      </c>
      <c r="AT182" s="14" t="s">
        <v>18</v>
      </c>
      <c r="AU182" s="15" t="s">
        <v>18</v>
      </c>
      <c r="AV182" s="25">
        <v>4</v>
      </c>
      <c r="AW182" s="17">
        <v>4</v>
      </c>
      <c r="AX182" s="14" t="s">
        <v>18</v>
      </c>
      <c r="AY182" s="15" t="s">
        <v>18</v>
      </c>
      <c r="AZ182" s="73">
        <v>4</v>
      </c>
      <c r="BA182" s="74">
        <v>3</v>
      </c>
      <c r="BB182" s="60">
        <f t="shared" si="39"/>
        <v>4</v>
      </c>
      <c r="BC182" s="44">
        <f>IF($A169=TRUE,BB182*$I169,0)</f>
        <v>20</v>
      </c>
    </row>
    <row r="183" spans="1:55" x14ac:dyDescent="0.3">
      <c r="J183" s="60"/>
    </row>
    <row r="184" spans="1:55" x14ac:dyDescent="0.3">
      <c r="A184" s="4" t="s">
        <v>19</v>
      </c>
      <c r="B184" s="2"/>
      <c r="C184" s="2"/>
      <c r="D184" s="2"/>
      <c r="E184" s="2"/>
      <c r="F184" s="2"/>
      <c r="G184" s="2"/>
      <c r="H184" s="2"/>
      <c r="I184" s="2" t="s">
        <v>26</v>
      </c>
      <c r="J184" s="60"/>
    </row>
    <row r="185" spans="1:55" x14ac:dyDescent="0.3">
      <c r="A185" s="2" t="b">
        <v>1</v>
      </c>
      <c r="B185" s="2"/>
      <c r="C185" s="2"/>
      <c r="D185" s="2"/>
      <c r="E185" s="2"/>
      <c r="F185" s="2"/>
      <c r="G185" s="2"/>
      <c r="H185" s="2"/>
      <c r="I185" s="2">
        <f>F27</f>
        <v>4</v>
      </c>
      <c r="J185" s="60"/>
    </row>
    <row r="186" spans="1:55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60"/>
    </row>
    <row r="187" spans="1:55" x14ac:dyDescent="0.3">
      <c r="A187" s="10" t="s">
        <v>14</v>
      </c>
      <c r="B187" s="85" t="s">
        <v>7</v>
      </c>
      <c r="C187" s="86"/>
      <c r="D187" s="85" t="s">
        <v>10</v>
      </c>
      <c r="E187" s="86"/>
      <c r="F187" s="87" t="s">
        <v>11</v>
      </c>
      <c r="G187" s="86"/>
      <c r="H187" s="85" t="s">
        <v>13</v>
      </c>
      <c r="I187" s="86"/>
      <c r="J187" s="60"/>
      <c r="L187" s="10" t="s">
        <v>14</v>
      </c>
      <c r="M187" s="85" t="s">
        <v>7</v>
      </c>
      <c r="N187" s="86"/>
      <c r="O187" s="85" t="s">
        <v>10</v>
      </c>
      <c r="P187" s="86"/>
      <c r="Q187" s="87" t="s">
        <v>11</v>
      </c>
      <c r="R187" s="86"/>
      <c r="S187" s="85" t="s">
        <v>13</v>
      </c>
      <c r="T187" s="86"/>
      <c r="W187" s="10" t="s">
        <v>14</v>
      </c>
      <c r="X187" s="85" t="s">
        <v>7</v>
      </c>
      <c r="Y187" s="86"/>
      <c r="Z187" s="85" t="s">
        <v>10</v>
      </c>
      <c r="AA187" s="86"/>
      <c r="AB187" s="87" t="s">
        <v>11</v>
      </c>
      <c r="AC187" s="86"/>
      <c r="AD187" s="85" t="s">
        <v>13</v>
      </c>
      <c r="AE187" s="86"/>
      <c r="AH187" s="10" t="s">
        <v>14</v>
      </c>
      <c r="AI187" s="85" t="s">
        <v>7</v>
      </c>
      <c r="AJ187" s="86"/>
      <c r="AK187" s="85" t="s">
        <v>10</v>
      </c>
      <c r="AL187" s="86"/>
      <c r="AM187" s="87" t="s">
        <v>11</v>
      </c>
      <c r="AN187" s="86"/>
      <c r="AO187" s="85" t="s">
        <v>13</v>
      </c>
      <c r="AP187" s="86"/>
      <c r="AS187" s="10" t="s">
        <v>14</v>
      </c>
      <c r="AT187" s="85" t="s">
        <v>7</v>
      </c>
      <c r="AU187" s="86"/>
      <c r="AV187" s="85" t="s">
        <v>10</v>
      </c>
      <c r="AW187" s="86"/>
      <c r="AX187" s="87" t="s">
        <v>11</v>
      </c>
      <c r="AY187" s="86"/>
      <c r="AZ187" s="85" t="s">
        <v>13</v>
      </c>
      <c r="BA187" s="86"/>
    </row>
    <row r="188" spans="1:55" ht="15" thickBot="1" x14ac:dyDescent="0.35">
      <c r="A188" s="11" t="s">
        <v>0</v>
      </c>
      <c r="B188" s="5" t="s">
        <v>8</v>
      </c>
      <c r="C188" s="6" t="s">
        <v>9</v>
      </c>
      <c r="D188" s="7" t="s">
        <v>8</v>
      </c>
      <c r="E188" s="6" t="s">
        <v>9</v>
      </c>
      <c r="F188" s="7" t="s">
        <v>8</v>
      </c>
      <c r="G188" s="6" t="s">
        <v>9</v>
      </c>
      <c r="H188" s="7" t="s">
        <v>8</v>
      </c>
      <c r="I188" s="6" t="s">
        <v>9</v>
      </c>
      <c r="J188" s="60"/>
      <c r="L188" s="11" t="s">
        <v>0</v>
      </c>
      <c r="M188" s="5" t="s">
        <v>8</v>
      </c>
      <c r="N188" s="6" t="s">
        <v>9</v>
      </c>
      <c r="O188" s="7" t="s">
        <v>8</v>
      </c>
      <c r="P188" s="6" t="s">
        <v>9</v>
      </c>
      <c r="Q188" s="7" t="s">
        <v>8</v>
      </c>
      <c r="R188" s="6" t="s">
        <v>9</v>
      </c>
      <c r="S188" s="7" t="s">
        <v>8</v>
      </c>
      <c r="T188" s="6" t="s">
        <v>9</v>
      </c>
      <c r="W188" s="11" t="s">
        <v>0</v>
      </c>
      <c r="X188" s="5" t="s">
        <v>8</v>
      </c>
      <c r="Y188" s="6" t="s">
        <v>9</v>
      </c>
      <c r="Z188" s="7" t="s">
        <v>8</v>
      </c>
      <c r="AA188" s="6" t="s">
        <v>9</v>
      </c>
      <c r="AB188" s="7" t="s">
        <v>8</v>
      </c>
      <c r="AC188" s="6" t="s">
        <v>9</v>
      </c>
      <c r="AD188" s="7" t="s">
        <v>8</v>
      </c>
      <c r="AE188" s="6" t="s">
        <v>9</v>
      </c>
      <c r="AH188" s="11" t="s">
        <v>0</v>
      </c>
      <c r="AI188" s="5" t="s">
        <v>8</v>
      </c>
      <c r="AJ188" s="6" t="s">
        <v>9</v>
      </c>
      <c r="AK188" s="7" t="s">
        <v>8</v>
      </c>
      <c r="AL188" s="6" t="s">
        <v>9</v>
      </c>
      <c r="AM188" s="7" t="s">
        <v>8</v>
      </c>
      <c r="AN188" s="6" t="s">
        <v>9</v>
      </c>
      <c r="AO188" s="7" t="s">
        <v>8</v>
      </c>
      <c r="AP188" s="6" t="s">
        <v>9</v>
      </c>
      <c r="AS188" s="11" t="s">
        <v>0</v>
      </c>
      <c r="AT188" s="5" t="s">
        <v>8</v>
      </c>
      <c r="AU188" s="6" t="s">
        <v>9</v>
      </c>
      <c r="AV188" s="7" t="s">
        <v>8</v>
      </c>
      <c r="AW188" s="6" t="s">
        <v>9</v>
      </c>
      <c r="AX188" s="7" t="s">
        <v>8</v>
      </c>
      <c r="AY188" s="6" t="s">
        <v>9</v>
      </c>
      <c r="AZ188" s="7" t="s">
        <v>8</v>
      </c>
      <c r="BA188" s="6" t="s">
        <v>9</v>
      </c>
    </row>
    <row r="189" spans="1:55" ht="15" thickTop="1" x14ac:dyDescent="0.3">
      <c r="A189" s="1" t="s">
        <v>4</v>
      </c>
      <c r="B189" s="24">
        <v>1</v>
      </c>
      <c r="C189" s="22">
        <v>1</v>
      </c>
      <c r="D189" s="24">
        <v>1</v>
      </c>
      <c r="E189" s="22">
        <v>1</v>
      </c>
      <c r="F189" s="24">
        <v>1</v>
      </c>
      <c r="G189" s="22">
        <v>1</v>
      </c>
      <c r="H189" s="8" t="s">
        <v>18</v>
      </c>
      <c r="I189" s="9" t="s">
        <v>18</v>
      </c>
      <c r="J189" s="60">
        <f t="shared" si="23"/>
        <v>1</v>
      </c>
      <c r="K189" s="44">
        <f>IF(A185=TRUE,J189*I185,0)</f>
        <v>4</v>
      </c>
      <c r="L189" s="1" t="s">
        <v>4</v>
      </c>
      <c r="M189" s="24">
        <v>1</v>
      </c>
      <c r="N189" s="22">
        <v>1</v>
      </c>
      <c r="O189" s="24">
        <v>1</v>
      </c>
      <c r="P189" s="22">
        <v>1</v>
      </c>
      <c r="Q189" s="24">
        <v>1</v>
      </c>
      <c r="R189" s="22">
        <v>1</v>
      </c>
      <c r="S189" s="8" t="s">
        <v>18</v>
      </c>
      <c r="T189" s="9" t="s">
        <v>18</v>
      </c>
      <c r="U189" s="60">
        <f>MAX(M189:T189)</f>
        <v>1</v>
      </c>
      <c r="V189" s="44">
        <f>IF($A185=TRUE,U189*$I185,0)</f>
        <v>4</v>
      </c>
      <c r="W189" s="1" t="s">
        <v>4</v>
      </c>
      <c r="X189" s="24">
        <v>1</v>
      </c>
      <c r="Y189" s="22">
        <v>1</v>
      </c>
      <c r="Z189" s="24">
        <v>1</v>
      </c>
      <c r="AA189" s="22">
        <v>1</v>
      </c>
      <c r="AB189" s="24">
        <v>1</v>
      </c>
      <c r="AC189" s="22">
        <v>1</v>
      </c>
      <c r="AD189" s="8" t="s">
        <v>18</v>
      </c>
      <c r="AE189" s="9" t="s">
        <v>18</v>
      </c>
      <c r="AF189" s="60">
        <f>MAX(X189:AE189)</f>
        <v>1</v>
      </c>
      <c r="AG189" s="44">
        <f>IF($A185=TRUE,AF189*$I185,0)</f>
        <v>4</v>
      </c>
      <c r="AH189" s="1" t="s">
        <v>4</v>
      </c>
      <c r="AI189" s="24">
        <v>1</v>
      </c>
      <c r="AJ189" s="22">
        <v>1</v>
      </c>
      <c r="AK189" s="24">
        <v>1</v>
      </c>
      <c r="AL189" s="22">
        <v>1</v>
      </c>
      <c r="AM189" s="24">
        <v>1</v>
      </c>
      <c r="AN189" s="22">
        <v>1</v>
      </c>
      <c r="AO189" s="8" t="s">
        <v>18</v>
      </c>
      <c r="AP189" s="9" t="s">
        <v>18</v>
      </c>
      <c r="AQ189" s="60">
        <f>MAX(AI189:AP189)</f>
        <v>1</v>
      </c>
      <c r="AR189" s="44">
        <f>IF($A185=TRUE,AQ189*$I185,0)</f>
        <v>4</v>
      </c>
      <c r="AS189" s="1" t="s">
        <v>4</v>
      </c>
      <c r="AT189" s="8" t="s">
        <v>18</v>
      </c>
      <c r="AU189" s="9" t="s">
        <v>18</v>
      </c>
      <c r="AV189" s="8" t="s">
        <v>18</v>
      </c>
      <c r="AW189" s="9" t="s">
        <v>18</v>
      </c>
      <c r="AX189" s="8" t="s">
        <v>18</v>
      </c>
      <c r="AY189" s="9" t="s">
        <v>18</v>
      </c>
      <c r="AZ189" s="8" t="s">
        <v>18</v>
      </c>
      <c r="BA189" s="9" t="s">
        <v>18</v>
      </c>
      <c r="BB189" s="60">
        <f>MAX(AT189:BA189)</f>
        <v>0</v>
      </c>
      <c r="BC189" s="44">
        <f>IF($A185=TRUE,BB189*$I185,0)</f>
        <v>0</v>
      </c>
    </row>
    <row r="190" spans="1:55" x14ac:dyDescent="0.3">
      <c r="A190" s="1" t="s">
        <v>5</v>
      </c>
      <c r="B190" s="54">
        <v>1</v>
      </c>
      <c r="C190" s="22">
        <v>1</v>
      </c>
      <c r="D190" s="8" t="s">
        <v>18</v>
      </c>
      <c r="E190" s="9" t="s">
        <v>18</v>
      </c>
      <c r="F190" s="54">
        <v>1</v>
      </c>
      <c r="G190" s="22">
        <v>1</v>
      </c>
      <c r="H190" s="8" t="s">
        <v>18</v>
      </c>
      <c r="I190" s="9" t="s">
        <v>18</v>
      </c>
      <c r="J190" s="60">
        <f t="shared" ref="J190:J253" si="40">MAX(B190:I190)</f>
        <v>1</v>
      </c>
      <c r="K190" s="44">
        <f>IF(A185=TRUE,J190*I185,0)</f>
        <v>4</v>
      </c>
      <c r="L190" s="1" t="s">
        <v>5</v>
      </c>
      <c r="M190" s="54">
        <v>1</v>
      </c>
      <c r="N190" s="22">
        <v>1</v>
      </c>
      <c r="O190" s="8" t="s">
        <v>18</v>
      </c>
      <c r="P190" s="9" t="s">
        <v>18</v>
      </c>
      <c r="Q190" s="54">
        <v>1</v>
      </c>
      <c r="R190" s="22">
        <v>1</v>
      </c>
      <c r="S190" s="8" t="s">
        <v>18</v>
      </c>
      <c r="T190" s="9" t="s">
        <v>18</v>
      </c>
      <c r="U190" s="60">
        <f t="shared" ref="U190:U198" si="41">MAX(M190:T190)</f>
        <v>1</v>
      </c>
      <c r="V190" s="44">
        <f>IF($A185=TRUE,U190*$I185,0)</f>
        <v>4</v>
      </c>
      <c r="W190" s="1" t="s">
        <v>5</v>
      </c>
      <c r="X190" s="54">
        <v>1</v>
      </c>
      <c r="Y190" s="22">
        <v>1</v>
      </c>
      <c r="Z190" s="8" t="s">
        <v>18</v>
      </c>
      <c r="AA190" s="9" t="s">
        <v>18</v>
      </c>
      <c r="AB190" s="54">
        <v>1</v>
      </c>
      <c r="AC190" s="22">
        <v>1</v>
      </c>
      <c r="AD190" s="8" t="s">
        <v>18</v>
      </c>
      <c r="AE190" s="9" t="s">
        <v>18</v>
      </c>
      <c r="AF190" s="60">
        <f t="shared" ref="AF190:AF198" si="42">MAX(X190:AE190)</f>
        <v>1</v>
      </c>
      <c r="AG190" s="44">
        <f>IF($A185=TRUE,AF190*$I185,0)</f>
        <v>4</v>
      </c>
      <c r="AH190" s="1" t="s">
        <v>5</v>
      </c>
      <c r="AI190" s="54">
        <v>1</v>
      </c>
      <c r="AJ190" s="22">
        <v>1</v>
      </c>
      <c r="AK190" s="8" t="s">
        <v>18</v>
      </c>
      <c r="AL190" s="9" t="s">
        <v>18</v>
      </c>
      <c r="AM190" s="54">
        <v>1</v>
      </c>
      <c r="AN190" s="22">
        <v>1</v>
      </c>
      <c r="AO190" s="8" t="s">
        <v>18</v>
      </c>
      <c r="AP190" s="9" t="s">
        <v>18</v>
      </c>
      <c r="AQ190" s="60">
        <f t="shared" ref="AQ190:AQ198" si="43">MAX(AI190:AP190)</f>
        <v>1</v>
      </c>
      <c r="AR190" s="44">
        <f>IF($A185=TRUE,AQ190*$I185,0)</f>
        <v>4</v>
      </c>
      <c r="AS190" s="1" t="s">
        <v>5</v>
      </c>
      <c r="AT190" s="8" t="s">
        <v>18</v>
      </c>
      <c r="AU190" s="9" t="s">
        <v>18</v>
      </c>
      <c r="AV190" s="8" t="s">
        <v>18</v>
      </c>
      <c r="AW190" s="9" t="s">
        <v>18</v>
      </c>
      <c r="AX190" s="8" t="s">
        <v>18</v>
      </c>
      <c r="AY190" s="9" t="s">
        <v>18</v>
      </c>
      <c r="AZ190" s="8" t="s">
        <v>18</v>
      </c>
      <c r="BA190" s="9" t="s">
        <v>18</v>
      </c>
      <c r="BB190" s="60">
        <f t="shared" ref="BB190:BB198" si="44">MAX(AT190:BA190)</f>
        <v>0</v>
      </c>
      <c r="BC190" s="44">
        <f>IF($A185=TRUE,BB190*$I185,0)</f>
        <v>0</v>
      </c>
    </row>
    <row r="191" spans="1:55" x14ac:dyDescent="0.3">
      <c r="A191" s="1" t="s">
        <v>6</v>
      </c>
      <c r="B191" s="54">
        <v>1</v>
      </c>
      <c r="C191" s="22">
        <v>1</v>
      </c>
      <c r="D191" s="8" t="s">
        <v>18</v>
      </c>
      <c r="E191" s="9" t="s">
        <v>18</v>
      </c>
      <c r="F191" s="54">
        <v>1</v>
      </c>
      <c r="G191" s="22">
        <v>1</v>
      </c>
      <c r="H191" s="8" t="s">
        <v>18</v>
      </c>
      <c r="I191" s="9" t="s">
        <v>18</v>
      </c>
      <c r="J191" s="60">
        <f t="shared" si="40"/>
        <v>1</v>
      </c>
      <c r="K191" s="44">
        <f>IF(A185=TRUE,J191*I185,0)</f>
        <v>4</v>
      </c>
      <c r="L191" s="1" t="s">
        <v>6</v>
      </c>
      <c r="M191" s="54">
        <v>1</v>
      </c>
      <c r="N191" s="22">
        <v>1</v>
      </c>
      <c r="O191" s="8" t="s">
        <v>18</v>
      </c>
      <c r="P191" s="9" t="s">
        <v>18</v>
      </c>
      <c r="Q191" s="54">
        <v>1</v>
      </c>
      <c r="R191" s="22">
        <v>1</v>
      </c>
      <c r="S191" s="8" t="s">
        <v>18</v>
      </c>
      <c r="T191" s="9" t="s">
        <v>18</v>
      </c>
      <c r="U191" s="60">
        <f t="shared" si="41"/>
        <v>1</v>
      </c>
      <c r="V191" s="44">
        <f>IF($A185=TRUE,U191*$I185,0)</f>
        <v>4</v>
      </c>
      <c r="W191" s="1" t="s">
        <v>6</v>
      </c>
      <c r="X191" s="54">
        <v>1</v>
      </c>
      <c r="Y191" s="22">
        <v>1</v>
      </c>
      <c r="Z191" s="8" t="s">
        <v>18</v>
      </c>
      <c r="AA191" s="9" t="s">
        <v>18</v>
      </c>
      <c r="AB191" s="54">
        <v>1</v>
      </c>
      <c r="AC191" s="22">
        <v>1</v>
      </c>
      <c r="AD191" s="8" t="s">
        <v>18</v>
      </c>
      <c r="AE191" s="9" t="s">
        <v>18</v>
      </c>
      <c r="AF191" s="60">
        <f t="shared" si="42"/>
        <v>1</v>
      </c>
      <c r="AG191" s="44">
        <f>IF($A185=TRUE,AF191*$I185,0)</f>
        <v>4</v>
      </c>
      <c r="AH191" s="1" t="s">
        <v>6</v>
      </c>
      <c r="AI191" s="54">
        <v>1</v>
      </c>
      <c r="AJ191" s="22">
        <v>1</v>
      </c>
      <c r="AK191" s="8" t="s">
        <v>18</v>
      </c>
      <c r="AL191" s="9" t="s">
        <v>18</v>
      </c>
      <c r="AM191" s="54">
        <v>1</v>
      </c>
      <c r="AN191" s="22">
        <v>1</v>
      </c>
      <c r="AO191" s="8" t="s">
        <v>18</v>
      </c>
      <c r="AP191" s="9" t="s">
        <v>18</v>
      </c>
      <c r="AQ191" s="60">
        <f t="shared" si="43"/>
        <v>1</v>
      </c>
      <c r="AR191" s="44">
        <f>IF($A185=TRUE,AQ191*$I185,0)</f>
        <v>4</v>
      </c>
      <c r="AS191" s="1" t="s">
        <v>6</v>
      </c>
      <c r="AT191" s="8" t="s">
        <v>18</v>
      </c>
      <c r="AU191" s="9" t="s">
        <v>18</v>
      </c>
      <c r="AV191" s="8" t="s">
        <v>18</v>
      </c>
      <c r="AW191" s="9" t="s">
        <v>18</v>
      </c>
      <c r="AX191" s="8" t="s">
        <v>18</v>
      </c>
      <c r="AY191" s="9" t="s">
        <v>18</v>
      </c>
      <c r="AZ191" s="8" t="s">
        <v>18</v>
      </c>
      <c r="BA191" s="9" t="s">
        <v>18</v>
      </c>
      <c r="BB191" s="60">
        <f t="shared" si="44"/>
        <v>0</v>
      </c>
      <c r="BC191" s="44">
        <f>IF($A185=TRUE,BB191*$I185,0)</f>
        <v>0</v>
      </c>
    </row>
    <row r="192" spans="1:55" x14ac:dyDescent="0.3">
      <c r="A192" s="1" t="s">
        <v>1</v>
      </c>
      <c r="B192" s="8" t="s">
        <v>18</v>
      </c>
      <c r="C192" s="9" t="s">
        <v>18</v>
      </c>
      <c r="D192" s="8" t="s">
        <v>18</v>
      </c>
      <c r="E192" s="9" t="s">
        <v>18</v>
      </c>
      <c r="F192" s="8" t="s">
        <v>18</v>
      </c>
      <c r="G192" s="9" t="s">
        <v>18</v>
      </c>
      <c r="H192" s="21">
        <v>5</v>
      </c>
      <c r="I192" s="26">
        <v>5</v>
      </c>
      <c r="J192" s="60">
        <f t="shared" si="40"/>
        <v>5</v>
      </c>
      <c r="K192" s="44">
        <f>IF(A185=TRUE,J192*I185,0)</f>
        <v>20</v>
      </c>
      <c r="L192" s="1" t="s">
        <v>1</v>
      </c>
      <c r="M192" s="8" t="s">
        <v>18</v>
      </c>
      <c r="N192" s="9" t="s">
        <v>18</v>
      </c>
      <c r="O192" s="8" t="s">
        <v>18</v>
      </c>
      <c r="P192" s="9" t="s">
        <v>18</v>
      </c>
      <c r="Q192" s="8" t="s">
        <v>18</v>
      </c>
      <c r="R192" s="9" t="s">
        <v>18</v>
      </c>
      <c r="S192" s="21">
        <v>5</v>
      </c>
      <c r="T192" s="26">
        <v>5</v>
      </c>
      <c r="U192" s="60">
        <f t="shared" si="41"/>
        <v>5</v>
      </c>
      <c r="V192" s="44">
        <f>IF($A185=TRUE,U192*$I185,0)</f>
        <v>20</v>
      </c>
      <c r="W192" s="1" t="s">
        <v>1</v>
      </c>
      <c r="X192" s="8" t="s">
        <v>18</v>
      </c>
      <c r="Y192" s="9" t="s">
        <v>18</v>
      </c>
      <c r="Z192" s="8" t="s">
        <v>18</v>
      </c>
      <c r="AA192" s="9" t="s">
        <v>18</v>
      </c>
      <c r="AB192" s="8" t="s">
        <v>18</v>
      </c>
      <c r="AC192" s="9" t="s">
        <v>18</v>
      </c>
      <c r="AD192" s="21">
        <v>5</v>
      </c>
      <c r="AE192" s="26">
        <v>5</v>
      </c>
      <c r="AF192" s="60">
        <f t="shared" si="42"/>
        <v>5</v>
      </c>
      <c r="AG192" s="44">
        <f>IF($A185=TRUE,AF192*$I185,0)</f>
        <v>20</v>
      </c>
      <c r="AH192" s="1" t="s">
        <v>1</v>
      </c>
      <c r="AI192" s="8" t="s">
        <v>18</v>
      </c>
      <c r="AJ192" s="9" t="s">
        <v>18</v>
      </c>
      <c r="AK192" s="8" t="s">
        <v>18</v>
      </c>
      <c r="AL192" s="9" t="s">
        <v>18</v>
      </c>
      <c r="AM192" s="8" t="s">
        <v>18</v>
      </c>
      <c r="AN192" s="9" t="s">
        <v>18</v>
      </c>
      <c r="AO192" s="21">
        <v>5</v>
      </c>
      <c r="AP192" s="26">
        <v>5</v>
      </c>
      <c r="AQ192" s="60">
        <f t="shared" si="43"/>
        <v>5</v>
      </c>
      <c r="AR192" s="44">
        <f>IF($A185=TRUE,AQ192*$I185,0)</f>
        <v>20</v>
      </c>
      <c r="AS192" s="1" t="s">
        <v>1</v>
      </c>
      <c r="AT192" s="8" t="s">
        <v>18</v>
      </c>
      <c r="AU192" s="9" t="s">
        <v>18</v>
      </c>
      <c r="AV192" s="8" t="s">
        <v>18</v>
      </c>
      <c r="AW192" s="9" t="s">
        <v>18</v>
      </c>
      <c r="AX192" s="8" t="s">
        <v>18</v>
      </c>
      <c r="AY192" s="9" t="s">
        <v>18</v>
      </c>
      <c r="AZ192" s="8" t="s">
        <v>18</v>
      </c>
      <c r="BA192" s="9" t="s">
        <v>18</v>
      </c>
      <c r="BB192" s="60">
        <f t="shared" si="44"/>
        <v>0</v>
      </c>
      <c r="BC192" s="44">
        <f>IF($A185=TRUE,BB192*$I185,0)</f>
        <v>0</v>
      </c>
    </row>
    <row r="193" spans="1:55" x14ac:dyDescent="0.3">
      <c r="A193" s="1" t="s">
        <v>16</v>
      </c>
      <c r="B193" s="8" t="s">
        <v>18</v>
      </c>
      <c r="C193" s="9" t="s">
        <v>18</v>
      </c>
      <c r="D193" s="8" t="s">
        <v>18</v>
      </c>
      <c r="E193" s="9" t="s">
        <v>18</v>
      </c>
      <c r="F193" s="8" t="s">
        <v>18</v>
      </c>
      <c r="G193" s="26">
        <v>5</v>
      </c>
      <c r="H193" s="8" t="s">
        <v>18</v>
      </c>
      <c r="I193" s="26">
        <v>5</v>
      </c>
      <c r="J193" s="60">
        <f t="shared" si="40"/>
        <v>5</v>
      </c>
      <c r="K193" s="44">
        <f>IF(A185=TRUE,J193*I185,0)</f>
        <v>20</v>
      </c>
      <c r="L193" s="1" t="s">
        <v>16</v>
      </c>
      <c r="M193" s="8" t="s">
        <v>18</v>
      </c>
      <c r="N193" s="9" t="s">
        <v>18</v>
      </c>
      <c r="O193" s="8" t="s">
        <v>18</v>
      </c>
      <c r="P193" s="9" t="s">
        <v>18</v>
      </c>
      <c r="Q193" s="8" t="s">
        <v>18</v>
      </c>
      <c r="R193" s="26">
        <v>5</v>
      </c>
      <c r="S193" s="8" t="s">
        <v>18</v>
      </c>
      <c r="T193" s="26">
        <v>5</v>
      </c>
      <c r="U193" s="60">
        <f t="shared" si="41"/>
        <v>5</v>
      </c>
      <c r="V193" s="44">
        <f>IF($A185=TRUE,U193*$I185,0)</f>
        <v>20</v>
      </c>
      <c r="W193" s="1" t="s">
        <v>16</v>
      </c>
      <c r="X193" s="8" t="s">
        <v>18</v>
      </c>
      <c r="Y193" s="9" t="s">
        <v>18</v>
      </c>
      <c r="Z193" s="8" t="s">
        <v>18</v>
      </c>
      <c r="AA193" s="9" t="s">
        <v>18</v>
      </c>
      <c r="AB193" s="8" t="s">
        <v>18</v>
      </c>
      <c r="AC193" s="26">
        <v>5</v>
      </c>
      <c r="AD193" s="8" t="s">
        <v>18</v>
      </c>
      <c r="AE193" s="26">
        <v>5</v>
      </c>
      <c r="AF193" s="60">
        <f t="shared" si="42"/>
        <v>5</v>
      </c>
      <c r="AG193" s="44">
        <f>IF($A185=TRUE,AF193*$I185,0)</f>
        <v>20</v>
      </c>
      <c r="AH193" s="1" t="s">
        <v>16</v>
      </c>
      <c r="AI193" s="8" t="s">
        <v>18</v>
      </c>
      <c r="AJ193" s="9" t="s">
        <v>18</v>
      </c>
      <c r="AK193" s="8" t="s">
        <v>18</v>
      </c>
      <c r="AL193" s="9" t="s">
        <v>18</v>
      </c>
      <c r="AM193" s="8" t="s">
        <v>18</v>
      </c>
      <c r="AN193" s="26">
        <v>5</v>
      </c>
      <c r="AO193" s="8" t="s">
        <v>18</v>
      </c>
      <c r="AP193" s="26">
        <v>5</v>
      </c>
      <c r="AQ193" s="60">
        <f t="shared" si="43"/>
        <v>5</v>
      </c>
      <c r="AR193" s="44">
        <f>IF($A185=TRUE,AQ193*$I185,0)</f>
        <v>20</v>
      </c>
      <c r="AS193" s="1" t="s">
        <v>16</v>
      </c>
      <c r="AT193" s="8" t="s">
        <v>18</v>
      </c>
      <c r="AU193" s="9" t="s">
        <v>18</v>
      </c>
      <c r="AV193" s="8" t="s">
        <v>18</v>
      </c>
      <c r="AW193" s="9" t="s">
        <v>18</v>
      </c>
      <c r="AX193" s="8" t="s">
        <v>18</v>
      </c>
      <c r="AY193" s="9" t="s">
        <v>18</v>
      </c>
      <c r="AZ193" s="8" t="s">
        <v>18</v>
      </c>
      <c r="BA193" s="9" t="s">
        <v>18</v>
      </c>
      <c r="BB193" s="60">
        <f t="shared" si="44"/>
        <v>0</v>
      </c>
      <c r="BC193" s="44">
        <f>IF($A185=TRUE,BB193*$I185,0)</f>
        <v>0</v>
      </c>
    </row>
    <row r="194" spans="1:55" x14ac:dyDescent="0.3">
      <c r="A194" s="1" t="s">
        <v>17</v>
      </c>
      <c r="B194" s="8" t="s">
        <v>18</v>
      </c>
      <c r="C194" s="9" t="s">
        <v>18</v>
      </c>
      <c r="D194" s="20">
        <v>2</v>
      </c>
      <c r="E194" s="23">
        <v>2</v>
      </c>
      <c r="F194" s="8" t="s">
        <v>18</v>
      </c>
      <c r="G194" s="9" t="s">
        <v>18</v>
      </c>
      <c r="H194" s="20">
        <v>2</v>
      </c>
      <c r="I194" s="23">
        <v>2</v>
      </c>
      <c r="J194" s="60">
        <f t="shared" si="40"/>
        <v>2</v>
      </c>
      <c r="K194" s="44">
        <f>IF(A185=TRUE,J194*I185,0)</f>
        <v>8</v>
      </c>
      <c r="L194" s="1" t="s">
        <v>17</v>
      </c>
      <c r="M194" s="8" t="s">
        <v>18</v>
      </c>
      <c r="N194" s="9" t="s">
        <v>18</v>
      </c>
      <c r="O194" s="18">
        <v>3</v>
      </c>
      <c r="P194" s="19">
        <v>3</v>
      </c>
      <c r="Q194" s="8" t="s">
        <v>18</v>
      </c>
      <c r="R194" s="9" t="s">
        <v>18</v>
      </c>
      <c r="S194" s="20">
        <v>2</v>
      </c>
      <c r="T194" s="23">
        <v>2</v>
      </c>
      <c r="U194" s="60">
        <f t="shared" si="41"/>
        <v>3</v>
      </c>
      <c r="V194" s="44">
        <f>IF($A185=TRUE,U194*$I185,0)</f>
        <v>12</v>
      </c>
      <c r="W194" s="1" t="s">
        <v>17</v>
      </c>
      <c r="X194" s="8" t="s">
        <v>18</v>
      </c>
      <c r="Y194" s="9" t="s">
        <v>18</v>
      </c>
      <c r="Z194" s="25">
        <v>4</v>
      </c>
      <c r="AA194" s="17">
        <v>4</v>
      </c>
      <c r="AB194" s="8" t="s">
        <v>18</v>
      </c>
      <c r="AC194" s="9" t="s">
        <v>18</v>
      </c>
      <c r="AD194" s="18">
        <v>3</v>
      </c>
      <c r="AE194" s="19">
        <v>3</v>
      </c>
      <c r="AF194" s="60">
        <f t="shared" si="42"/>
        <v>4</v>
      </c>
      <c r="AG194" s="44">
        <f>IF($A185=TRUE,AF194*$I185,0)</f>
        <v>16</v>
      </c>
      <c r="AH194" s="1" t="s">
        <v>17</v>
      </c>
      <c r="AI194" s="8" t="s">
        <v>18</v>
      </c>
      <c r="AJ194" s="9" t="s">
        <v>18</v>
      </c>
      <c r="AK194" s="20">
        <v>2</v>
      </c>
      <c r="AL194" s="23">
        <v>2</v>
      </c>
      <c r="AM194" s="8" t="s">
        <v>18</v>
      </c>
      <c r="AN194" s="9" t="s">
        <v>18</v>
      </c>
      <c r="AO194" s="20">
        <v>2</v>
      </c>
      <c r="AP194" s="23">
        <v>2</v>
      </c>
      <c r="AQ194" s="60">
        <f t="shared" si="43"/>
        <v>2</v>
      </c>
      <c r="AR194" s="44">
        <f>IF($A185=TRUE,AQ194*$I185,0)</f>
        <v>8</v>
      </c>
      <c r="AS194" s="1" t="s">
        <v>17</v>
      </c>
      <c r="AT194" s="8" t="s">
        <v>18</v>
      </c>
      <c r="AU194" s="9" t="s">
        <v>18</v>
      </c>
      <c r="AV194" s="25">
        <v>4</v>
      </c>
      <c r="AW194" s="17">
        <v>4</v>
      </c>
      <c r="AX194" s="8" t="s">
        <v>18</v>
      </c>
      <c r="AY194" s="9" t="s">
        <v>18</v>
      </c>
      <c r="AZ194" s="16">
        <v>4</v>
      </c>
      <c r="BA194" s="17">
        <v>4</v>
      </c>
      <c r="BB194" s="60">
        <f t="shared" si="44"/>
        <v>4</v>
      </c>
      <c r="BC194" s="44">
        <f>IF($A185=TRUE,BB194*$I185,0)</f>
        <v>16</v>
      </c>
    </row>
    <row r="195" spans="1:55" x14ac:dyDescent="0.3">
      <c r="A195" s="1" t="s">
        <v>2</v>
      </c>
      <c r="B195" s="25">
        <v>4</v>
      </c>
      <c r="C195" s="17">
        <v>4</v>
      </c>
      <c r="D195" s="8" t="s">
        <v>18</v>
      </c>
      <c r="E195" s="9" t="s">
        <v>18</v>
      </c>
      <c r="F195" s="25">
        <v>4</v>
      </c>
      <c r="G195" s="17">
        <v>4</v>
      </c>
      <c r="H195" s="8" t="s">
        <v>18</v>
      </c>
      <c r="I195" s="9" t="s">
        <v>18</v>
      </c>
      <c r="J195" s="60">
        <f t="shared" si="40"/>
        <v>4</v>
      </c>
      <c r="K195" s="44">
        <f>IF(A185=TRUE,J195*I185,0)</f>
        <v>16</v>
      </c>
      <c r="L195" s="1" t="s">
        <v>2</v>
      </c>
      <c r="M195" s="25">
        <v>4</v>
      </c>
      <c r="N195" s="17">
        <v>4</v>
      </c>
      <c r="O195" s="8" t="s">
        <v>18</v>
      </c>
      <c r="P195" s="9" t="s">
        <v>18</v>
      </c>
      <c r="Q195" s="25">
        <v>4</v>
      </c>
      <c r="R195" s="17">
        <v>4</v>
      </c>
      <c r="S195" s="8" t="s">
        <v>18</v>
      </c>
      <c r="T195" s="9" t="s">
        <v>18</v>
      </c>
      <c r="U195" s="60">
        <f t="shared" si="41"/>
        <v>4</v>
      </c>
      <c r="V195" s="44">
        <f>IF($A185=TRUE,U195*$I185,0)</f>
        <v>16</v>
      </c>
      <c r="W195" s="1" t="s">
        <v>2</v>
      </c>
      <c r="X195" s="25">
        <v>4</v>
      </c>
      <c r="Y195" s="17">
        <v>4</v>
      </c>
      <c r="Z195" s="8" t="s">
        <v>18</v>
      </c>
      <c r="AA195" s="9" t="s">
        <v>18</v>
      </c>
      <c r="AB195" s="25">
        <v>4</v>
      </c>
      <c r="AC195" s="17">
        <v>4</v>
      </c>
      <c r="AD195" s="8" t="s">
        <v>18</v>
      </c>
      <c r="AE195" s="9" t="s">
        <v>18</v>
      </c>
      <c r="AF195" s="60">
        <f t="shared" si="42"/>
        <v>4</v>
      </c>
      <c r="AG195" s="44">
        <f>IF($A185=TRUE,AF195*$I185,0)</f>
        <v>16</v>
      </c>
      <c r="AH195" s="1" t="s">
        <v>2</v>
      </c>
      <c r="AI195" s="25">
        <v>4</v>
      </c>
      <c r="AJ195" s="17">
        <v>4</v>
      </c>
      <c r="AK195" s="8" t="s">
        <v>18</v>
      </c>
      <c r="AL195" s="9" t="s">
        <v>18</v>
      </c>
      <c r="AM195" s="25">
        <v>4</v>
      </c>
      <c r="AN195" s="17">
        <v>4</v>
      </c>
      <c r="AO195" s="8" t="s">
        <v>18</v>
      </c>
      <c r="AP195" s="9" t="s">
        <v>18</v>
      </c>
      <c r="AQ195" s="60">
        <f t="shared" si="43"/>
        <v>4</v>
      </c>
      <c r="AR195" s="44">
        <f>IF($A185=TRUE,AQ195*$I185,0)</f>
        <v>16</v>
      </c>
      <c r="AS195" s="1" t="s">
        <v>2</v>
      </c>
      <c r="AT195" s="8" t="s">
        <v>18</v>
      </c>
      <c r="AU195" s="9" t="s">
        <v>18</v>
      </c>
      <c r="AV195" s="8" t="s">
        <v>18</v>
      </c>
      <c r="AW195" s="9" t="s">
        <v>18</v>
      </c>
      <c r="AX195" s="8" t="s">
        <v>18</v>
      </c>
      <c r="AY195" s="9" t="s">
        <v>18</v>
      </c>
      <c r="AZ195" s="8" t="s">
        <v>18</v>
      </c>
      <c r="BA195" s="9" t="s">
        <v>18</v>
      </c>
      <c r="BB195" s="60">
        <f t="shared" si="44"/>
        <v>0</v>
      </c>
      <c r="BC195" s="44">
        <f>IF($A185=TRUE,BB195*$I185,0)</f>
        <v>0</v>
      </c>
    </row>
    <row r="196" spans="1:55" x14ac:dyDescent="0.3">
      <c r="A196" s="1" t="s">
        <v>20</v>
      </c>
      <c r="B196" s="8" t="s">
        <v>18</v>
      </c>
      <c r="C196" s="9" t="s">
        <v>18</v>
      </c>
      <c r="D196" s="24">
        <v>1</v>
      </c>
      <c r="E196" s="22">
        <v>1</v>
      </c>
      <c r="F196" s="8" t="s">
        <v>18</v>
      </c>
      <c r="G196" s="9" t="s">
        <v>18</v>
      </c>
      <c r="H196" s="8" t="s">
        <v>18</v>
      </c>
      <c r="I196" s="22">
        <v>1</v>
      </c>
      <c r="J196" s="60">
        <f t="shared" si="40"/>
        <v>1</v>
      </c>
      <c r="K196" s="44">
        <f>IF(A185=TRUE,J196*I185,0)</f>
        <v>4</v>
      </c>
      <c r="L196" s="1" t="s">
        <v>20</v>
      </c>
      <c r="M196" s="8" t="s">
        <v>18</v>
      </c>
      <c r="N196" s="9" t="s">
        <v>18</v>
      </c>
      <c r="O196" s="24">
        <v>1</v>
      </c>
      <c r="P196" s="22">
        <v>1</v>
      </c>
      <c r="Q196" s="8" t="s">
        <v>18</v>
      </c>
      <c r="R196" s="9" t="s">
        <v>18</v>
      </c>
      <c r="S196" s="8" t="s">
        <v>18</v>
      </c>
      <c r="T196" s="22">
        <v>1</v>
      </c>
      <c r="U196" s="60">
        <f t="shared" si="41"/>
        <v>1</v>
      </c>
      <c r="V196" s="44">
        <f>IF($A185=TRUE,U196*$I185,0)</f>
        <v>4</v>
      </c>
      <c r="W196" s="1" t="s">
        <v>20</v>
      </c>
      <c r="X196" s="8" t="s">
        <v>18</v>
      </c>
      <c r="Y196" s="9" t="s">
        <v>18</v>
      </c>
      <c r="Z196" s="24">
        <v>1</v>
      </c>
      <c r="AA196" s="22">
        <v>1</v>
      </c>
      <c r="AB196" s="8" t="s">
        <v>18</v>
      </c>
      <c r="AC196" s="9" t="s">
        <v>18</v>
      </c>
      <c r="AD196" s="8" t="s">
        <v>18</v>
      </c>
      <c r="AE196" s="22">
        <v>1</v>
      </c>
      <c r="AF196" s="60">
        <f t="shared" si="42"/>
        <v>1</v>
      </c>
      <c r="AG196" s="44">
        <f>IF($A185=TRUE,AF196*$I185,0)</f>
        <v>4</v>
      </c>
      <c r="AH196" s="1" t="s">
        <v>20</v>
      </c>
      <c r="AI196" s="8" t="s">
        <v>18</v>
      </c>
      <c r="AJ196" s="9" t="s">
        <v>18</v>
      </c>
      <c r="AK196" s="24">
        <v>1</v>
      </c>
      <c r="AL196" s="22">
        <v>1</v>
      </c>
      <c r="AM196" s="8" t="s">
        <v>18</v>
      </c>
      <c r="AN196" s="9" t="s">
        <v>18</v>
      </c>
      <c r="AO196" s="8" t="s">
        <v>18</v>
      </c>
      <c r="AP196" s="22">
        <v>1</v>
      </c>
      <c r="AQ196" s="60">
        <f t="shared" si="43"/>
        <v>1</v>
      </c>
      <c r="AR196" s="44">
        <f>IF($A185=TRUE,AQ196*$I185,0)</f>
        <v>4</v>
      </c>
      <c r="AS196" s="1" t="s">
        <v>20</v>
      </c>
      <c r="AT196" s="8" t="s">
        <v>18</v>
      </c>
      <c r="AU196" s="9" t="s">
        <v>18</v>
      </c>
      <c r="AV196" s="8" t="s">
        <v>18</v>
      </c>
      <c r="AW196" s="9" t="s">
        <v>18</v>
      </c>
      <c r="AX196" s="8" t="s">
        <v>18</v>
      </c>
      <c r="AY196" s="9" t="s">
        <v>18</v>
      </c>
      <c r="AZ196" s="8" t="s">
        <v>18</v>
      </c>
      <c r="BA196" s="9" t="s">
        <v>18</v>
      </c>
      <c r="BB196" s="60">
        <f t="shared" si="44"/>
        <v>0</v>
      </c>
      <c r="BC196" s="44">
        <f>IF($A185=TRUE,BB196*$I185,0)</f>
        <v>0</v>
      </c>
    </row>
    <row r="197" spans="1:55" x14ac:dyDescent="0.3">
      <c r="A197" s="1" t="s">
        <v>3</v>
      </c>
      <c r="B197" s="8" t="s">
        <v>18</v>
      </c>
      <c r="C197" s="9" t="s">
        <v>18</v>
      </c>
      <c r="D197" s="20">
        <v>2</v>
      </c>
      <c r="E197" s="23">
        <v>2</v>
      </c>
      <c r="F197" s="8" t="s">
        <v>18</v>
      </c>
      <c r="G197" s="9" t="s">
        <v>18</v>
      </c>
      <c r="H197" s="8" t="s">
        <v>18</v>
      </c>
      <c r="I197" s="9" t="s">
        <v>18</v>
      </c>
      <c r="J197" s="60">
        <f t="shared" si="40"/>
        <v>2</v>
      </c>
      <c r="K197" s="44">
        <f>IF(A185=TRUE,J197*I185,0)</f>
        <v>8</v>
      </c>
      <c r="L197" s="1" t="s">
        <v>3</v>
      </c>
      <c r="M197" s="8" t="s">
        <v>18</v>
      </c>
      <c r="N197" s="9" t="s">
        <v>18</v>
      </c>
      <c r="O197" s="20">
        <v>2</v>
      </c>
      <c r="P197" s="23">
        <v>2</v>
      </c>
      <c r="Q197" s="8" t="s">
        <v>18</v>
      </c>
      <c r="R197" s="9" t="s">
        <v>18</v>
      </c>
      <c r="S197" s="8" t="s">
        <v>18</v>
      </c>
      <c r="T197" s="9" t="s">
        <v>18</v>
      </c>
      <c r="U197" s="60">
        <f t="shared" si="41"/>
        <v>2</v>
      </c>
      <c r="V197" s="44">
        <f>IF($A185=TRUE,U197*$I185,0)</f>
        <v>8</v>
      </c>
      <c r="W197" s="1" t="s">
        <v>3</v>
      </c>
      <c r="X197" s="8" t="s">
        <v>18</v>
      </c>
      <c r="Y197" s="9" t="s">
        <v>18</v>
      </c>
      <c r="Z197" s="18">
        <v>3</v>
      </c>
      <c r="AA197" s="19">
        <v>3</v>
      </c>
      <c r="AB197" s="8" t="s">
        <v>18</v>
      </c>
      <c r="AC197" s="9" t="s">
        <v>18</v>
      </c>
      <c r="AD197" s="8" t="s">
        <v>18</v>
      </c>
      <c r="AE197" s="9" t="s">
        <v>18</v>
      </c>
      <c r="AF197" s="60">
        <f t="shared" si="42"/>
        <v>3</v>
      </c>
      <c r="AG197" s="44">
        <f>IF($A185=TRUE,AF197*$I185,0)</f>
        <v>12</v>
      </c>
      <c r="AH197" s="1" t="s">
        <v>3</v>
      </c>
      <c r="AI197" s="8" t="s">
        <v>18</v>
      </c>
      <c r="AJ197" s="9" t="s">
        <v>18</v>
      </c>
      <c r="AK197" s="20">
        <v>2</v>
      </c>
      <c r="AL197" s="23">
        <v>2</v>
      </c>
      <c r="AM197" s="8" t="s">
        <v>18</v>
      </c>
      <c r="AN197" s="9" t="s">
        <v>18</v>
      </c>
      <c r="AO197" s="8" t="s">
        <v>18</v>
      </c>
      <c r="AP197" s="9" t="s">
        <v>18</v>
      </c>
      <c r="AQ197" s="60">
        <f t="shared" si="43"/>
        <v>2</v>
      </c>
      <c r="AR197" s="44">
        <f>IF($A185=TRUE,AQ197*$I185,0)</f>
        <v>8</v>
      </c>
      <c r="AS197" s="1" t="s">
        <v>3</v>
      </c>
      <c r="AT197" s="8" t="s">
        <v>18</v>
      </c>
      <c r="AU197" s="9" t="s">
        <v>18</v>
      </c>
      <c r="AV197" s="8" t="s">
        <v>18</v>
      </c>
      <c r="AW197" s="9" t="s">
        <v>18</v>
      </c>
      <c r="AX197" s="8" t="s">
        <v>18</v>
      </c>
      <c r="AY197" s="9" t="s">
        <v>18</v>
      </c>
      <c r="AZ197" s="16">
        <v>4</v>
      </c>
      <c r="BA197" s="41">
        <v>2</v>
      </c>
      <c r="BB197" s="60">
        <f t="shared" si="44"/>
        <v>4</v>
      </c>
      <c r="BC197" s="44">
        <f>IF($A185=TRUE,BB197*$I185,0)</f>
        <v>16</v>
      </c>
    </row>
    <row r="198" spans="1:55" x14ac:dyDescent="0.3">
      <c r="A198" s="13" t="s">
        <v>12</v>
      </c>
      <c r="B198" s="14" t="s">
        <v>18</v>
      </c>
      <c r="C198" s="15" t="s">
        <v>18</v>
      </c>
      <c r="D198" s="40">
        <v>2</v>
      </c>
      <c r="E198" s="41">
        <v>2</v>
      </c>
      <c r="F198" s="14" t="s">
        <v>18</v>
      </c>
      <c r="G198" s="15" t="s">
        <v>18</v>
      </c>
      <c r="H198" s="14" t="s">
        <v>18</v>
      </c>
      <c r="I198" s="15" t="s">
        <v>18</v>
      </c>
      <c r="J198" s="60">
        <f t="shared" si="40"/>
        <v>2</v>
      </c>
      <c r="K198" s="44">
        <f>IF(A185=TRUE,J198*I185,0)</f>
        <v>8</v>
      </c>
      <c r="L198" s="13" t="s">
        <v>12</v>
      </c>
      <c r="M198" s="14" t="s">
        <v>18</v>
      </c>
      <c r="N198" s="15" t="s">
        <v>18</v>
      </c>
      <c r="O198" s="40">
        <v>2</v>
      </c>
      <c r="P198" s="41">
        <v>2</v>
      </c>
      <c r="Q198" s="14" t="s">
        <v>18</v>
      </c>
      <c r="R198" s="15" t="s">
        <v>18</v>
      </c>
      <c r="S198" s="14" t="s">
        <v>18</v>
      </c>
      <c r="T198" s="15" t="s">
        <v>18</v>
      </c>
      <c r="U198" s="60">
        <f t="shared" si="41"/>
        <v>2</v>
      </c>
      <c r="V198" s="44">
        <f>IF($A185=TRUE,U198*$I185,0)</f>
        <v>8</v>
      </c>
      <c r="W198" s="13" t="s">
        <v>12</v>
      </c>
      <c r="X198" s="14" t="s">
        <v>18</v>
      </c>
      <c r="Y198" s="15" t="s">
        <v>18</v>
      </c>
      <c r="Z198" s="35">
        <v>3</v>
      </c>
      <c r="AA198" s="32">
        <v>3</v>
      </c>
      <c r="AB198" s="14" t="s">
        <v>18</v>
      </c>
      <c r="AC198" s="15" t="s">
        <v>18</v>
      </c>
      <c r="AD198" s="14" t="s">
        <v>18</v>
      </c>
      <c r="AE198" s="15" t="s">
        <v>18</v>
      </c>
      <c r="AF198" s="60">
        <f t="shared" si="42"/>
        <v>3</v>
      </c>
      <c r="AG198" s="44">
        <f>IF($A185=TRUE,AF198*$I185,0)</f>
        <v>12</v>
      </c>
      <c r="AH198" s="13" t="s">
        <v>12</v>
      </c>
      <c r="AI198" s="14" t="s">
        <v>18</v>
      </c>
      <c r="AJ198" s="15" t="s">
        <v>18</v>
      </c>
      <c r="AK198" s="40">
        <v>2</v>
      </c>
      <c r="AL198" s="41">
        <v>2</v>
      </c>
      <c r="AM198" s="14" t="s">
        <v>18</v>
      </c>
      <c r="AN198" s="15" t="s">
        <v>18</v>
      </c>
      <c r="AO198" s="14" t="s">
        <v>18</v>
      </c>
      <c r="AP198" s="15" t="s">
        <v>18</v>
      </c>
      <c r="AQ198" s="60">
        <f t="shared" si="43"/>
        <v>2</v>
      </c>
      <c r="AR198" s="44">
        <f>IF($A185=TRUE,AQ198*$I185,0)</f>
        <v>8</v>
      </c>
      <c r="AS198" s="13" t="s">
        <v>12</v>
      </c>
      <c r="AT198" s="14" t="s">
        <v>18</v>
      </c>
      <c r="AU198" s="15" t="s">
        <v>18</v>
      </c>
      <c r="AV198" s="25">
        <v>4</v>
      </c>
      <c r="AW198" s="17">
        <v>4</v>
      </c>
      <c r="AX198" s="14" t="s">
        <v>18</v>
      </c>
      <c r="AY198" s="15" t="s">
        <v>18</v>
      </c>
      <c r="AZ198" s="16">
        <v>4</v>
      </c>
      <c r="BA198" s="41">
        <v>2</v>
      </c>
      <c r="BB198" s="60">
        <f t="shared" si="44"/>
        <v>4</v>
      </c>
      <c r="BC198" s="44">
        <f>IF($A185=TRUE,BB198*$I185,0)</f>
        <v>16</v>
      </c>
    </row>
    <row r="199" spans="1:55" x14ac:dyDescent="0.3">
      <c r="J199" s="60"/>
    </row>
    <row r="200" spans="1:55" x14ac:dyDescent="0.3">
      <c r="A200" s="4" t="s">
        <v>19</v>
      </c>
      <c r="B200" s="2"/>
      <c r="C200" s="2"/>
      <c r="D200" s="2"/>
      <c r="E200" s="2"/>
      <c r="F200" s="2"/>
      <c r="G200" s="2"/>
      <c r="H200" s="2"/>
      <c r="I200" s="2" t="s">
        <v>26</v>
      </c>
      <c r="J200" s="60"/>
    </row>
    <row r="201" spans="1:55" x14ac:dyDescent="0.3">
      <c r="A201" s="2" t="b">
        <v>0</v>
      </c>
      <c r="B201" s="2"/>
      <c r="C201" s="2"/>
      <c r="D201" s="2"/>
      <c r="E201" s="2"/>
      <c r="F201" s="2"/>
      <c r="G201" s="2"/>
      <c r="H201" s="2"/>
      <c r="I201" s="2">
        <f>F30</f>
        <v>0</v>
      </c>
      <c r="J201" s="60"/>
    </row>
    <row r="202" spans="1:55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60"/>
    </row>
    <row r="203" spans="1:55" x14ac:dyDescent="0.3">
      <c r="A203" s="10" t="s">
        <v>14</v>
      </c>
      <c r="B203" s="85" t="s">
        <v>7</v>
      </c>
      <c r="C203" s="86"/>
      <c r="D203" s="85" t="s">
        <v>10</v>
      </c>
      <c r="E203" s="86"/>
      <c r="F203" s="87" t="s">
        <v>11</v>
      </c>
      <c r="G203" s="86"/>
      <c r="H203" s="85" t="s">
        <v>13</v>
      </c>
      <c r="I203" s="86"/>
      <c r="J203" s="60"/>
      <c r="L203" s="10" t="s">
        <v>14</v>
      </c>
      <c r="M203" s="85" t="s">
        <v>7</v>
      </c>
      <c r="N203" s="86"/>
      <c r="O203" s="85" t="s">
        <v>10</v>
      </c>
      <c r="P203" s="86"/>
      <c r="Q203" s="87" t="s">
        <v>11</v>
      </c>
      <c r="R203" s="86"/>
      <c r="S203" s="85" t="s">
        <v>13</v>
      </c>
      <c r="T203" s="86"/>
      <c r="W203" s="10" t="s">
        <v>14</v>
      </c>
      <c r="X203" s="85" t="s">
        <v>7</v>
      </c>
      <c r="Y203" s="86"/>
      <c r="Z203" s="85" t="s">
        <v>10</v>
      </c>
      <c r="AA203" s="86"/>
      <c r="AB203" s="87" t="s">
        <v>11</v>
      </c>
      <c r="AC203" s="86"/>
      <c r="AD203" s="85" t="s">
        <v>13</v>
      </c>
      <c r="AE203" s="86"/>
      <c r="AH203" s="10" t="s">
        <v>14</v>
      </c>
      <c r="AI203" s="85" t="s">
        <v>7</v>
      </c>
      <c r="AJ203" s="86"/>
      <c r="AK203" s="85" t="s">
        <v>10</v>
      </c>
      <c r="AL203" s="86"/>
      <c r="AM203" s="87" t="s">
        <v>11</v>
      </c>
      <c r="AN203" s="86"/>
      <c r="AO203" s="85" t="s">
        <v>13</v>
      </c>
      <c r="AP203" s="86"/>
      <c r="AS203" s="10" t="s">
        <v>14</v>
      </c>
      <c r="AT203" s="85" t="s">
        <v>7</v>
      </c>
      <c r="AU203" s="86"/>
      <c r="AV203" s="85" t="s">
        <v>10</v>
      </c>
      <c r="AW203" s="86"/>
      <c r="AX203" s="87" t="s">
        <v>11</v>
      </c>
      <c r="AY203" s="86"/>
      <c r="AZ203" s="85" t="s">
        <v>13</v>
      </c>
      <c r="BA203" s="86"/>
    </row>
    <row r="204" spans="1:55" ht="15" thickBot="1" x14ac:dyDescent="0.35">
      <c r="A204" s="11" t="s">
        <v>0</v>
      </c>
      <c r="B204" s="5" t="s">
        <v>8</v>
      </c>
      <c r="C204" s="6" t="s">
        <v>9</v>
      </c>
      <c r="D204" s="7" t="s">
        <v>8</v>
      </c>
      <c r="E204" s="6" t="s">
        <v>9</v>
      </c>
      <c r="F204" s="7" t="s">
        <v>8</v>
      </c>
      <c r="G204" s="6" t="s">
        <v>9</v>
      </c>
      <c r="H204" s="7" t="s">
        <v>8</v>
      </c>
      <c r="I204" s="6" t="s">
        <v>9</v>
      </c>
      <c r="J204" s="60"/>
      <c r="L204" s="11" t="s">
        <v>0</v>
      </c>
      <c r="M204" s="5" t="s">
        <v>8</v>
      </c>
      <c r="N204" s="6" t="s">
        <v>9</v>
      </c>
      <c r="O204" s="7" t="s">
        <v>8</v>
      </c>
      <c r="P204" s="6" t="s">
        <v>9</v>
      </c>
      <c r="Q204" s="7" t="s">
        <v>8</v>
      </c>
      <c r="R204" s="6" t="s">
        <v>9</v>
      </c>
      <c r="S204" s="7" t="s">
        <v>8</v>
      </c>
      <c r="T204" s="6" t="s">
        <v>9</v>
      </c>
      <c r="W204" s="11" t="s">
        <v>0</v>
      </c>
      <c r="X204" s="5" t="s">
        <v>8</v>
      </c>
      <c r="Y204" s="6" t="s">
        <v>9</v>
      </c>
      <c r="Z204" s="7" t="s">
        <v>8</v>
      </c>
      <c r="AA204" s="6" t="s">
        <v>9</v>
      </c>
      <c r="AB204" s="7" t="s">
        <v>8</v>
      </c>
      <c r="AC204" s="6" t="s">
        <v>9</v>
      </c>
      <c r="AD204" s="7" t="s">
        <v>8</v>
      </c>
      <c r="AE204" s="6" t="s">
        <v>9</v>
      </c>
      <c r="AH204" s="11" t="s">
        <v>0</v>
      </c>
      <c r="AI204" s="5" t="s">
        <v>8</v>
      </c>
      <c r="AJ204" s="6" t="s">
        <v>9</v>
      </c>
      <c r="AK204" s="7" t="s">
        <v>8</v>
      </c>
      <c r="AL204" s="6" t="s">
        <v>9</v>
      </c>
      <c r="AM204" s="7" t="s">
        <v>8</v>
      </c>
      <c r="AN204" s="6" t="s">
        <v>9</v>
      </c>
      <c r="AO204" s="7" t="s">
        <v>8</v>
      </c>
      <c r="AP204" s="6" t="s">
        <v>9</v>
      </c>
      <c r="AS204" s="11" t="s">
        <v>0</v>
      </c>
      <c r="AT204" s="5" t="s">
        <v>8</v>
      </c>
      <c r="AU204" s="6" t="s">
        <v>9</v>
      </c>
      <c r="AV204" s="7" t="s">
        <v>8</v>
      </c>
      <c r="AW204" s="6" t="s">
        <v>9</v>
      </c>
      <c r="AX204" s="7" t="s">
        <v>8</v>
      </c>
      <c r="AY204" s="6" t="s">
        <v>9</v>
      </c>
      <c r="AZ204" s="7" t="s">
        <v>8</v>
      </c>
      <c r="BA204" s="6" t="s">
        <v>9</v>
      </c>
    </row>
    <row r="205" spans="1:55" ht="15" thickTop="1" x14ac:dyDescent="0.3">
      <c r="A205" s="1" t="s">
        <v>4</v>
      </c>
      <c r="B205" s="24">
        <v>1</v>
      </c>
      <c r="C205" s="22">
        <v>1</v>
      </c>
      <c r="D205" s="54">
        <v>1</v>
      </c>
      <c r="E205" s="22">
        <v>1</v>
      </c>
      <c r="F205" s="54">
        <v>1</v>
      </c>
      <c r="G205" s="22">
        <v>1</v>
      </c>
      <c r="H205" s="8" t="s">
        <v>18</v>
      </c>
      <c r="I205" s="9" t="s">
        <v>18</v>
      </c>
      <c r="J205" s="60">
        <f t="shared" si="40"/>
        <v>1</v>
      </c>
      <c r="K205" s="44">
        <f>IF(A201=TRUE,J205*I201,0)</f>
        <v>0</v>
      </c>
      <c r="L205" s="1" t="s">
        <v>4</v>
      </c>
      <c r="M205" s="24">
        <v>1</v>
      </c>
      <c r="N205" s="22">
        <v>1</v>
      </c>
      <c r="O205" s="54">
        <v>1</v>
      </c>
      <c r="P205" s="22">
        <v>1</v>
      </c>
      <c r="Q205" s="54">
        <v>1</v>
      </c>
      <c r="R205" s="22">
        <v>1</v>
      </c>
      <c r="S205" s="8" t="s">
        <v>18</v>
      </c>
      <c r="T205" s="9" t="s">
        <v>18</v>
      </c>
      <c r="U205" s="60">
        <f>MAX(M205:T205)</f>
        <v>1</v>
      </c>
      <c r="V205" s="44">
        <f>IF($A201=TRUE,U205*$I201,0)</f>
        <v>0</v>
      </c>
      <c r="W205" s="1" t="s">
        <v>4</v>
      </c>
      <c r="X205" s="24">
        <v>1</v>
      </c>
      <c r="Y205" s="22">
        <v>1</v>
      </c>
      <c r="Z205" s="54">
        <v>1</v>
      </c>
      <c r="AA205" s="22">
        <v>1</v>
      </c>
      <c r="AB205" s="54">
        <v>1</v>
      </c>
      <c r="AC205" s="22">
        <v>1</v>
      </c>
      <c r="AD205" s="8" t="s">
        <v>18</v>
      </c>
      <c r="AE205" s="9" t="s">
        <v>18</v>
      </c>
      <c r="AF205" s="60">
        <f>MAX(X205:AE205)</f>
        <v>1</v>
      </c>
      <c r="AG205" s="44">
        <f>IF($A201=TRUE,AF205*$I201,0)</f>
        <v>0</v>
      </c>
      <c r="AH205" s="1" t="s">
        <v>4</v>
      </c>
      <c r="AI205" s="24">
        <v>1</v>
      </c>
      <c r="AJ205" s="22">
        <v>1</v>
      </c>
      <c r="AK205" s="54">
        <v>1</v>
      </c>
      <c r="AL205" s="22">
        <v>1</v>
      </c>
      <c r="AM205" s="54">
        <v>1</v>
      </c>
      <c r="AN205" s="22">
        <v>1</v>
      </c>
      <c r="AO205" s="8" t="s">
        <v>18</v>
      </c>
      <c r="AP205" s="9" t="s">
        <v>18</v>
      </c>
      <c r="AQ205" s="60">
        <f>MAX(AI205:AP205)</f>
        <v>1</v>
      </c>
      <c r="AR205" s="44">
        <f>IF($A201=TRUE,AQ205*$I201,0)</f>
        <v>0</v>
      </c>
      <c r="AS205" s="1" t="s">
        <v>4</v>
      </c>
      <c r="AT205" s="8" t="s">
        <v>18</v>
      </c>
      <c r="AU205" s="9" t="s">
        <v>18</v>
      </c>
      <c r="AV205" s="8" t="s">
        <v>18</v>
      </c>
      <c r="AW205" s="9" t="s">
        <v>18</v>
      </c>
      <c r="AX205" s="8" t="s">
        <v>18</v>
      </c>
      <c r="AY205" s="9" t="s">
        <v>18</v>
      </c>
      <c r="AZ205" s="8" t="s">
        <v>18</v>
      </c>
      <c r="BA205" s="9" t="s">
        <v>18</v>
      </c>
      <c r="BB205" s="60">
        <f>MAX(AT205:BA205)</f>
        <v>0</v>
      </c>
      <c r="BC205" s="44">
        <f>IF($A201=TRUE,BB205*$I201,0)</f>
        <v>0</v>
      </c>
    </row>
    <row r="206" spans="1:55" x14ac:dyDescent="0.3">
      <c r="A206" s="1" t="s">
        <v>5</v>
      </c>
      <c r="B206" s="54">
        <v>1</v>
      </c>
      <c r="C206" s="22">
        <v>1</v>
      </c>
      <c r="D206" s="8" t="s">
        <v>18</v>
      </c>
      <c r="E206" s="9" t="s">
        <v>18</v>
      </c>
      <c r="F206" s="54">
        <v>1</v>
      </c>
      <c r="G206" s="22">
        <v>1</v>
      </c>
      <c r="H206" s="8" t="s">
        <v>18</v>
      </c>
      <c r="I206" s="9" t="s">
        <v>18</v>
      </c>
      <c r="J206" s="60">
        <f t="shared" si="40"/>
        <v>1</v>
      </c>
      <c r="K206" s="44">
        <f>IF(A201=TRUE,J206*I201,0)</f>
        <v>0</v>
      </c>
      <c r="L206" s="1" t="s">
        <v>5</v>
      </c>
      <c r="M206" s="54">
        <v>1</v>
      </c>
      <c r="N206" s="22">
        <v>1</v>
      </c>
      <c r="O206" s="8" t="s">
        <v>18</v>
      </c>
      <c r="P206" s="9" t="s">
        <v>18</v>
      </c>
      <c r="Q206" s="54">
        <v>1</v>
      </c>
      <c r="R206" s="22">
        <v>1</v>
      </c>
      <c r="S206" s="8" t="s">
        <v>18</v>
      </c>
      <c r="T206" s="9" t="s">
        <v>18</v>
      </c>
      <c r="U206" s="60">
        <f t="shared" ref="U206:U214" si="45">MAX(M206:T206)</f>
        <v>1</v>
      </c>
      <c r="V206" s="44">
        <f>IF($A201=TRUE,U206*$I201,0)</f>
        <v>0</v>
      </c>
      <c r="W206" s="1" t="s">
        <v>5</v>
      </c>
      <c r="X206" s="54">
        <v>1</v>
      </c>
      <c r="Y206" s="22">
        <v>1</v>
      </c>
      <c r="Z206" s="8" t="s">
        <v>18</v>
      </c>
      <c r="AA206" s="9" t="s">
        <v>18</v>
      </c>
      <c r="AB206" s="54">
        <v>1</v>
      </c>
      <c r="AC206" s="22">
        <v>1</v>
      </c>
      <c r="AD206" s="8" t="s">
        <v>18</v>
      </c>
      <c r="AE206" s="9" t="s">
        <v>18</v>
      </c>
      <c r="AF206" s="60">
        <f t="shared" ref="AF206:AF214" si="46">MAX(X206:AE206)</f>
        <v>1</v>
      </c>
      <c r="AG206" s="44">
        <f>IF($A201=TRUE,AF206*$I201,0)</f>
        <v>0</v>
      </c>
      <c r="AH206" s="1" t="s">
        <v>5</v>
      </c>
      <c r="AI206" s="54">
        <v>1</v>
      </c>
      <c r="AJ206" s="22">
        <v>1</v>
      </c>
      <c r="AK206" s="8" t="s">
        <v>18</v>
      </c>
      <c r="AL206" s="9" t="s">
        <v>18</v>
      </c>
      <c r="AM206" s="54">
        <v>1</v>
      </c>
      <c r="AN206" s="22">
        <v>1</v>
      </c>
      <c r="AO206" s="8" t="s">
        <v>18</v>
      </c>
      <c r="AP206" s="9" t="s">
        <v>18</v>
      </c>
      <c r="AQ206" s="60">
        <f t="shared" ref="AQ206:AQ214" si="47">MAX(AI206:AP206)</f>
        <v>1</v>
      </c>
      <c r="AR206" s="44">
        <f>IF($A201=TRUE,AQ206*$I201,0)</f>
        <v>0</v>
      </c>
      <c r="AS206" s="1" t="s">
        <v>5</v>
      </c>
      <c r="AT206" s="8" t="s">
        <v>18</v>
      </c>
      <c r="AU206" s="9" t="s">
        <v>18</v>
      </c>
      <c r="AV206" s="8" t="s">
        <v>18</v>
      </c>
      <c r="AW206" s="9" t="s">
        <v>18</v>
      </c>
      <c r="AX206" s="8" t="s">
        <v>18</v>
      </c>
      <c r="AY206" s="9" t="s">
        <v>18</v>
      </c>
      <c r="AZ206" s="8" t="s">
        <v>18</v>
      </c>
      <c r="BA206" s="9" t="s">
        <v>18</v>
      </c>
      <c r="BB206" s="60">
        <f t="shared" ref="BB206:BB214" si="48">MAX(AT206:BA206)</f>
        <v>0</v>
      </c>
      <c r="BC206" s="44">
        <f>IF($A201=TRUE,BB206*$I201,0)</f>
        <v>0</v>
      </c>
    </row>
    <row r="207" spans="1:55" x14ac:dyDescent="0.3">
      <c r="A207" s="1" t="s">
        <v>6</v>
      </c>
      <c r="B207" s="54">
        <v>1</v>
      </c>
      <c r="C207" s="22">
        <v>1</v>
      </c>
      <c r="D207" s="8" t="s">
        <v>18</v>
      </c>
      <c r="E207" s="9" t="s">
        <v>18</v>
      </c>
      <c r="F207" s="54">
        <v>1</v>
      </c>
      <c r="G207" s="22">
        <v>1</v>
      </c>
      <c r="H207" s="8" t="s">
        <v>18</v>
      </c>
      <c r="I207" s="9" t="s">
        <v>18</v>
      </c>
      <c r="J207" s="60">
        <f t="shared" si="40"/>
        <v>1</v>
      </c>
      <c r="K207" s="44">
        <f>IF(A201=TRUE,J207*I201,0)</f>
        <v>0</v>
      </c>
      <c r="L207" s="1" t="s">
        <v>6</v>
      </c>
      <c r="M207" s="54">
        <v>1</v>
      </c>
      <c r="N207" s="22">
        <v>1</v>
      </c>
      <c r="O207" s="8" t="s">
        <v>18</v>
      </c>
      <c r="P207" s="9" t="s">
        <v>18</v>
      </c>
      <c r="Q207" s="54">
        <v>1</v>
      </c>
      <c r="R207" s="22">
        <v>1</v>
      </c>
      <c r="S207" s="8" t="s">
        <v>18</v>
      </c>
      <c r="T207" s="9" t="s">
        <v>18</v>
      </c>
      <c r="U207" s="60">
        <f t="shared" si="45"/>
        <v>1</v>
      </c>
      <c r="V207" s="44">
        <f>IF($A201=TRUE,U207*$I201,0)</f>
        <v>0</v>
      </c>
      <c r="W207" s="1" t="s">
        <v>6</v>
      </c>
      <c r="X207" s="54">
        <v>1</v>
      </c>
      <c r="Y207" s="22">
        <v>1</v>
      </c>
      <c r="Z207" s="8" t="s">
        <v>18</v>
      </c>
      <c r="AA207" s="9" t="s">
        <v>18</v>
      </c>
      <c r="AB207" s="54">
        <v>1</v>
      </c>
      <c r="AC207" s="22">
        <v>1</v>
      </c>
      <c r="AD207" s="8" t="s">
        <v>18</v>
      </c>
      <c r="AE207" s="9" t="s">
        <v>18</v>
      </c>
      <c r="AF207" s="60">
        <f t="shared" si="46"/>
        <v>1</v>
      </c>
      <c r="AG207" s="44">
        <f>IF($A201=TRUE,AF207*$I201,0)</f>
        <v>0</v>
      </c>
      <c r="AH207" s="1" t="s">
        <v>6</v>
      </c>
      <c r="AI207" s="54">
        <v>1</v>
      </c>
      <c r="AJ207" s="22">
        <v>1</v>
      </c>
      <c r="AK207" s="8" t="s">
        <v>18</v>
      </c>
      <c r="AL207" s="9" t="s">
        <v>18</v>
      </c>
      <c r="AM207" s="54">
        <v>1</v>
      </c>
      <c r="AN207" s="22">
        <v>1</v>
      </c>
      <c r="AO207" s="8" t="s">
        <v>18</v>
      </c>
      <c r="AP207" s="9" t="s">
        <v>18</v>
      </c>
      <c r="AQ207" s="60">
        <f t="shared" si="47"/>
        <v>1</v>
      </c>
      <c r="AR207" s="44">
        <f>IF($A201=TRUE,AQ207*$I201,0)</f>
        <v>0</v>
      </c>
      <c r="AS207" s="1" t="s">
        <v>6</v>
      </c>
      <c r="AT207" s="8" t="s">
        <v>18</v>
      </c>
      <c r="AU207" s="9" t="s">
        <v>18</v>
      </c>
      <c r="AV207" s="8" t="s">
        <v>18</v>
      </c>
      <c r="AW207" s="9" t="s">
        <v>18</v>
      </c>
      <c r="AX207" s="8" t="s">
        <v>18</v>
      </c>
      <c r="AY207" s="9" t="s">
        <v>18</v>
      </c>
      <c r="AZ207" s="8" t="s">
        <v>18</v>
      </c>
      <c r="BA207" s="9" t="s">
        <v>18</v>
      </c>
      <c r="BB207" s="60">
        <f t="shared" si="48"/>
        <v>0</v>
      </c>
      <c r="BC207" s="44">
        <f>IF($A201=TRUE,BB207*$I201,0)</f>
        <v>0</v>
      </c>
    </row>
    <row r="208" spans="1:55" x14ac:dyDescent="0.3">
      <c r="A208" s="1" t="s">
        <v>1</v>
      </c>
      <c r="B208" s="8" t="s">
        <v>18</v>
      </c>
      <c r="C208" s="9" t="s">
        <v>18</v>
      </c>
      <c r="D208" s="8" t="s">
        <v>18</v>
      </c>
      <c r="E208" s="9" t="s">
        <v>18</v>
      </c>
      <c r="F208" s="8" t="s">
        <v>18</v>
      </c>
      <c r="G208" s="9" t="s">
        <v>18</v>
      </c>
      <c r="H208" s="24">
        <v>1</v>
      </c>
      <c r="I208" s="22">
        <v>1</v>
      </c>
      <c r="J208" s="60">
        <f t="shared" si="40"/>
        <v>1</v>
      </c>
      <c r="K208" s="44">
        <f>IF(A201=TRUE,J208*I201,0)</f>
        <v>0</v>
      </c>
      <c r="L208" s="1" t="s">
        <v>1</v>
      </c>
      <c r="M208" s="8" t="s">
        <v>18</v>
      </c>
      <c r="N208" s="9" t="s">
        <v>18</v>
      </c>
      <c r="O208" s="8" t="s">
        <v>18</v>
      </c>
      <c r="P208" s="9" t="s">
        <v>18</v>
      </c>
      <c r="Q208" s="8" t="s">
        <v>18</v>
      </c>
      <c r="R208" s="9" t="s">
        <v>18</v>
      </c>
      <c r="S208" s="24">
        <v>1</v>
      </c>
      <c r="T208" s="22">
        <v>1</v>
      </c>
      <c r="U208" s="60">
        <f t="shared" si="45"/>
        <v>1</v>
      </c>
      <c r="V208" s="44">
        <f>IF($A201=TRUE,U208*$I201,0)</f>
        <v>0</v>
      </c>
      <c r="W208" s="1" t="s">
        <v>1</v>
      </c>
      <c r="X208" s="8" t="s">
        <v>18</v>
      </c>
      <c r="Y208" s="9" t="s">
        <v>18</v>
      </c>
      <c r="Z208" s="8" t="s">
        <v>18</v>
      </c>
      <c r="AA208" s="9" t="s">
        <v>18</v>
      </c>
      <c r="AB208" s="8" t="s">
        <v>18</v>
      </c>
      <c r="AC208" s="9" t="s">
        <v>18</v>
      </c>
      <c r="AD208" s="24">
        <v>1</v>
      </c>
      <c r="AE208" s="22">
        <v>1</v>
      </c>
      <c r="AF208" s="60">
        <f t="shared" si="46"/>
        <v>1</v>
      </c>
      <c r="AG208" s="44">
        <f>IF($A201=TRUE,AF208*$I201,0)</f>
        <v>0</v>
      </c>
      <c r="AH208" s="1" t="s">
        <v>1</v>
      </c>
      <c r="AI208" s="8" t="s">
        <v>18</v>
      </c>
      <c r="AJ208" s="9" t="s">
        <v>18</v>
      </c>
      <c r="AK208" s="8" t="s">
        <v>18</v>
      </c>
      <c r="AL208" s="9" t="s">
        <v>18</v>
      </c>
      <c r="AM208" s="8" t="s">
        <v>18</v>
      </c>
      <c r="AN208" s="9" t="s">
        <v>18</v>
      </c>
      <c r="AO208" s="24">
        <v>1</v>
      </c>
      <c r="AP208" s="22">
        <v>1</v>
      </c>
      <c r="AQ208" s="60">
        <f t="shared" si="47"/>
        <v>1</v>
      </c>
      <c r="AR208" s="44">
        <f>IF($A201=TRUE,AQ208*$I201,0)</f>
        <v>0</v>
      </c>
      <c r="AS208" s="1" t="s">
        <v>1</v>
      </c>
      <c r="AT208" s="8" t="s">
        <v>18</v>
      </c>
      <c r="AU208" s="9" t="s">
        <v>18</v>
      </c>
      <c r="AV208" s="8" t="s">
        <v>18</v>
      </c>
      <c r="AW208" s="9" t="s">
        <v>18</v>
      </c>
      <c r="AX208" s="8" t="s">
        <v>18</v>
      </c>
      <c r="AY208" s="9" t="s">
        <v>18</v>
      </c>
      <c r="AZ208" s="8" t="s">
        <v>18</v>
      </c>
      <c r="BA208" s="9" t="s">
        <v>18</v>
      </c>
      <c r="BB208" s="60">
        <f t="shared" si="48"/>
        <v>0</v>
      </c>
      <c r="BC208" s="44">
        <f>IF($A201=TRUE,BB208*$I201,0)</f>
        <v>0</v>
      </c>
    </row>
    <row r="209" spans="1:55" x14ac:dyDescent="0.3">
      <c r="A209" s="1" t="s">
        <v>16</v>
      </c>
      <c r="B209" s="8" t="s">
        <v>18</v>
      </c>
      <c r="C209" s="9" t="s">
        <v>18</v>
      </c>
      <c r="D209" s="8" t="s">
        <v>18</v>
      </c>
      <c r="E209" s="9" t="s">
        <v>18</v>
      </c>
      <c r="F209" s="8" t="s">
        <v>18</v>
      </c>
      <c r="G209" s="26">
        <v>5</v>
      </c>
      <c r="H209" s="8" t="s">
        <v>18</v>
      </c>
      <c r="I209" s="26">
        <v>5</v>
      </c>
      <c r="J209" s="60">
        <f t="shared" si="40"/>
        <v>5</v>
      </c>
      <c r="K209" s="44">
        <f>IF(A201=TRUE,J209*I201,0)</f>
        <v>0</v>
      </c>
      <c r="L209" s="1" t="s">
        <v>16</v>
      </c>
      <c r="M209" s="8" t="s">
        <v>18</v>
      </c>
      <c r="N209" s="9" t="s">
        <v>18</v>
      </c>
      <c r="O209" s="8" t="s">
        <v>18</v>
      </c>
      <c r="P209" s="9" t="s">
        <v>18</v>
      </c>
      <c r="Q209" s="8" t="s">
        <v>18</v>
      </c>
      <c r="R209" s="26">
        <v>5</v>
      </c>
      <c r="S209" s="8" t="s">
        <v>18</v>
      </c>
      <c r="T209" s="26">
        <v>5</v>
      </c>
      <c r="U209" s="60">
        <f t="shared" si="45"/>
        <v>5</v>
      </c>
      <c r="V209" s="44">
        <f>IF($A201=TRUE,U209*$I201,0)</f>
        <v>0</v>
      </c>
      <c r="W209" s="1" t="s">
        <v>16</v>
      </c>
      <c r="X209" s="8" t="s">
        <v>18</v>
      </c>
      <c r="Y209" s="9" t="s">
        <v>18</v>
      </c>
      <c r="Z209" s="8" t="s">
        <v>18</v>
      </c>
      <c r="AA209" s="9" t="s">
        <v>18</v>
      </c>
      <c r="AB209" s="8" t="s">
        <v>18</v>
      </c>
      <c r="AC209" s="26">
        <v>5</v>
      </c>
      <c r="AD209" s="8" t="s">
        <v>18</v>
      </c>
      <c r="AE209" s="26">
        <v>5</v>
      </c>
      <c r="AF209" s="60">
        <f t="shared" si="46"/>
        <v>5</v>
      </c>
      <c r="AG209" s="44">
        <f>IF($A201=TRUE,AF209*$I201,0)</f>
        <v>0</v>
      </c>
      <c r="AH209" s="1" t="s">
        <v>16</v>
      </c>
      <c r="AI209" s="8" t="s">
        <v>18</v>
      </c>
      <c r="AJ209" s="9" t="s">
        <v>18</v>
      </c>
      <c r="AK209" s="8" t="s">
        <v>18</v>
      </c>
      <c r="AL209" s="9" t="s">
        <v>18</v>
      </c>
      <c r="AM209" s="8" t="s">
        <v>18</v>
      </c>
      <c r="AN209" s="26">
        <v>5</v>
      </c>
      <c r="AO209" s="8" t="s">
        <v>18</v>
      </c>
      <c r="AP209" s="26">
        <v>5</v>
      </c>
      <c r="AQ209" s="60">
        <f t="shared" si="47"/>
        <v>5</v>
      </c>
      <c r="AR209" s="44">
        <f>IF($A201=TRUE,AQ209*$I201,0)</f>
        <v>0</v>
      </c>
      <c r="AS209" s="1" t="s">
        <v>16</v>
      </c>
      <c r="AT209" s="8" t="s">
        <v>18</v>
      </c>
      <c r="AU209" s="9" t="s">
        <v>18</v>
      </c>
      <c r="AV209" s="8" t="s">
        <v>18</v>
      </c>
      <c r="AW209" s="9" t="s">
        <v>18</v>
      </c>
      <c r="AX209" s="8" t="s">
        <v>18</v>
      </c>
      <c r="AY209" s="9" t="s">
        <v>18</v>
      </c>
      <c r="AZ209" s="8" t="s">
        <v>18</v>
      </c>
      <c r="BA209" s="9" t="s">
        <v>18</v>
      </c>
      <c r="BB209" s="60">
        <f t="shared" si="48"/>
        <v>0</v>
      </c>
      <c r="BC209" s="44">
        <f>IF($A201=TRUE,BB209*$I201,0)</f>
        <v>0</v>
      </c>
    </row>
    <row r="210" spans="1:55" x14ac:dyDescent="0.3">
      <c r="A210" s="1" t="s">
        <v>17</v>
      </c>
      <c r="B210" s="8" t="s">
        <v>18</v>
      </c>
      <c r="C210" s="9" t="s">
        <v>18</v>
      </c>
      <c r="D210" s="25">
        <v>4</v>
      </c>
      <c r="E210" s="17">
        <v>4</v>
      </c>
      <c r="F210" s="8" t="s">
        <v>18</v>
      </c>
      <c r="G210" s="9" t="s">
        <v>18</v>
      </c>
      <c r="H210" s="54">
        <v>1</v>
      </c>
      <c r="I210" s="22">
        <v>1</v>
      </c>
      <c r="J210" s="60">
        <f t="shared" si="40"/>
        <v>4</v>
      </c>
      <c r="K210" s="44">
        <f>IF(A201=TRUE,J210*I201,0)</f>
        <v>0</v>
      </c>
      <c r="L210" s="1" t="s">
        <v>17</v>
      </c>
      <c r="M210" s="8" t="s">
        <v>18</v>
      </c>
      <c r="N210" s="9" t="s">
        <v>18</v>
      </c>
      <c r="O210" s="25">
        <v>4</v>
      </c>
      <c r="P210" s="17">
        <v>4</v>
      </c>
      <c r="Q210" s="8" t="s">
        <v>18</v>
      </c>
      <c r="R210" s="9" t="s">
        <v>18</v>
      </c>
      <c r="S210" s="54">
        <v>1</v>
      </c>
      <c r="T210" s="22">
        <v>1</v>
      </c>
      <c r="U210" s="60">
        <f t="shared" si="45"/>
        <v>4</v>
      </c>
      <c r="V210" s="44">
        <f>IF($A201=TRUE,U210*$I201,0)</f>
        <v>0</v>
      </c>
      <c r="W210" s="1" t="s">
        <v>17</v>
      </c>
      <c r="X210" s="8" t="s">
        <v>18</v>
      </c>
      <c r="Y210" s="9" t="s">
        <v>18</v>
      </c>
      <c r="Z210" s="25">
        <v>4</v>
      </c>
      <c r="AA210" s="17">
        <v>4</v>
      </c>
      <c r="AB210" s="8" t="s">
        <v>18</v>
      </c>
      <c r="AC210" s="9" t="s">
        <v>18</v>
      </c>
      <c r="AD210" s="54">
        <v>1</v>
      </c>
      <c r="AE210" s="22">
        <v>1</v>
      </c>
      <c r="AF210" s="60">
        <f t="shared" si="46"/>
        <v>4</v>
      </c>
      <c r="AG210" s="44">
        <f>IF($A201=TRUE,AF210*$I201,0)</f>
        <v>0</v>
      </c>
      <c r="AH210" s="1" t="s">
        <v>17</v>
      </c>
      <c r="AI210" s="8" t="s">
        <v>18</v>
      </c>
      <c r="AJ210" s="9" t="s">
        <v>18</v>
      </c>
      <c r="AK210" s="25">
        <v>4</v>
      </c>
      <c r="AL210" s="17">
        <v>4</v>
      </c>
      <c r="AM210" s="8" t="s">
        <v>18</v>
      </c>
      <c r="AN210" s="9" t="s">
        <v>18</v>
      </c>
      <c r="AO210" s="54">
        <v>1</v>
      </c>
      <c r="AP210" s="22">
        <v>1</v>
      </c>
      <c r="AQ210" s="60">
        <f t="shared" si="47"/>
        <v>4</v>
      </c>
      <c r="AR210" s="44">
        <f>IF($A201=TRUE,AQ210*$I201,0)</f>
        <v>0</v>
      </c>
      <c r="AS210" s="1" t="s">
        <v>17</v>
      </c>
      <c r="AT210" s="8" t="s">
        <v>18</v>
      </c>
      <c r="AU210" s="9" t="s">
        <v>18</v>
      </c>
      <c r="AV210" s="25">
        <v>4</v>
      </c>
      <c r="AW210" s="17">
        <v>4</v>
      </c>
      <c r="AX210" s="8" t="s">
        <v>18</v>
      </c>
      <c r="AY210" s="9" t="s">
        <v>18</v>
      </c>
      <c r="AZ210" s="40">
        <v>2</v>
      </c>
      <c r="BA210" s="41">
        <v>2</v>
      </c>
      <c r="BB210" s="60">
        <f t="shared" si="48"/>
        <v>4</v>
      </c>
      <c r="BC210" s="44">
        <f>IF($A201=TRUE,BB210*$I201,0)</f>
        <v>0</v>
      </c>
    </row>
    <row r="211" spans="1:55" x14ac:dyDescent="0.3">
      <c r="A211" s="1" t="s">
        <v>2</v>
      </c>
      <c r="B211" s="8" t="s">
        <v>18</v>
      </c>
      <c r="C211" s="9" t="s">
        <v>18</v>
      </c>
      <c r="D211" s="8" t="s">
        <v>18</v>
      </c>
      <c r="E211" s="9" t="s">
        <v>18</v>
      </c>
      <c r="F211" s="12" t="s">
        <v>15</v>
      </c>
      <c r="G211" s="9" t="s">
        <v>15</v>
      </c>
      <c r="H211" s="8" t="s">
        <v>18</v>
      </c>
      <c r="I211" s="9" t="s">
        <v>18</v>
      </c>
      <c r="J211" s="60">
        <f t="shared" si="40"/>
        <v>0</v>
      </c>
      <c r="K211" s="44">
        <f>IF(A201=TRUE,J211*I201,0)</f>
        <v>0</v>
      </c>
      <c r="L211" s="1" t="s">
        <v>2</v>
      </c>
      <c r="M211" s="8" t="s">
        <v>18</v>
      </c>
      <c r="N211" s="9" t="s">
        <v>18</v>
      </c>
      <c r="O211" s="8" t="s">
        <v>18</v>
      </c>
      <c r="P211" s="9" t="s">
        <v>18</v>
      </c>
      <c r="Q211" s="12" t="s">
        <v>15</v>
      </c>
      <c r="R211" s="9" t="s">
        <v>15</v>
      </c>
      <c r="S211" s="8" t="s">
        <v>18</v>
      </c>
      <c r="T211" s="9" t="s">
        <v>18</v>
      </c>
      <c r="U211" s="60">
        <f t="shared" si="45"/>
        <v>0</v>
      </c>
      <c r="V211" s="44">
        <f>IF($A201=TRUE,U211*$I201,0)</f>
        <v>0</v>
      </c>
      <c r="W211" s="1" t="s">
        <v>2</v>
      </c>
      <c r="X211" s="8" t="s">
        <v>18</v>
      </c>
      <c r="Y211" s="9" t="s">
        <v>18</v>
      </c>
      <c r="Z211" s="8" t="s">
        <v>18</v>
      </c>
      <c r="AA211" s="9" t="s">
        <v>18</v>
      </c>
      <c r="AB211" s="12" t="s">
        <v>15</v>
      </c>
      <c r="AC211" s="9" t="s">
        <v>15</v>
      </c>
      <c r="AD211" s="8" t="s">
        <v>18</v>
      </c>
      <c r="AE211" s="9" t="s">
        <v>18</v>
      </c>
      <c r="AF211" s="60">
        <f t="shared" si="46"/>
        <v>0</v>
      </c>
      <c r="AG211" s="44">
        <f>IF($A201=TRUE,AF211*$I201,0)</f>
        <v>0</v>
      </c>
      <c r="AH211" s="1" t="s">
        <v>2</v>
      </c>
      <c r="AI211" s="8" t="s">
        <v>18</v>
      </c>
      <c r="AJ211" s="9" t="s">
        <v>18</v>
      </c>
      <c r="AK211" s="8" t="s">
        <v>18</v>
      </c>
      <c r="AL211" s="9" t="s">
        <v>18</v>
      </c>
      <c r="AM211" s="12" t="s">
        <v>15</v>
      </c>
      <c r="AN211" s="9" t="s">
        <v>15</v>
      </c>
      <c r="AO211" s="8" t="s">
        <v>18</v>
      </c>
      <c r="AP211" s="9" t="s">
        <v>18</v>
      </c>
      <c r="AQ211" s="60">
        <f t="shared" si="47"/>
        <v>0</v>
      </c>
      <c r="AR211" s="44">
        <f>IF($A201=TRUE,AQ211*$I201,0)</f>
        <v>0</v>
      </c>
      <c r="AS211" s="1" t="s">
        <v>2</v>
      </c>
      <c r="AT211" s="8" t="s">
        <v>18</v>
      </c>
      <c r="AU211" s="9" t="s">
        <v>18</v>
      </c>
      <c r="AV211" s="8" t="s">
        <v>18</v>
      </c>
      <c r="AW211" s="9" t="s">
        <v>18</v>
      </c>
      <c r="AX211" s="8" t="s">
        <v>18</v>
      </c>
      <c r="AY211" s="9" t="s">
        <v>18</v>
      </c>
      <c r="AZ211" s="8" t="s">
        <v>18</v>
      </c>
      <c r="BA211" s="9" t="s">
        <v>18</v>
      </c>
      <c r="BB211" s="60">
        <f t="shared" si="48"/>
        <v>0</v>
      </c>
      <c r="BC211" s="44">
        <f>IF($A201=TRUE,BB211*$I201,0)</f>
        <v>0</v>
      </c>
    </row>
    <row r="212" spans="1:55" x14ac:dyDescent="0.3">
      <c r="A212" s="1" t="s">
        <v>20</v>
      </c>
      <c r="B212" s="8" t="s">
        <v>18</v>
      </c>
      <c r="C212" s="9" t="s">
        <v>18</v>
      </c>
      <c r="D212" s="25">
        <v>4</v>
      </c>
      <c r="E212" s="17">
        <v>4</v>
      </c>
      <c r="F212" s="8" t="s">
        <v>18</v>
      </c>
      <c r="G212" s="9" t="s">
        <v>18</v>
      </c>
      <c r="H212" s="8" t="s">
        <v>18</v>
      </c>
      <c r="I212" s="26">
        <v>5</v>
      </c>
      <c r="J212" s="60">
        <f t="shared" si="40"/>
        <v>5</v>
      </c>
      <c r="K212" s="44">
        <f>IF(A201=TRUE,J212*I201,0)</f>
        <v>0</v>
      </c>
      <c r="L212" s="1" t="s">
        <v>20</v>
      </c>
      <c r="M212" s="8" t="s">
        <v>18</v>
      </c>
      <c r="N212" s="9" t="s">
        <v>18</v>
      </c>
      <c r="O212" s="25">
        <v>4</v>
      </c>
      <c r="P212" s="17">
        <v>4</v>
      </c>
      <c r="Q212" s="8" t="s">
        <v>18</v>
      </c>
      <c r="R212" s="9" t="s">
        <v>18</v>
      </c>
      <c r="S212" s="8" t="s">
        <v>18</v>
      </c>
      <c r="T212" s="26">
        <v>5</v>
      </c>
      <c r="U212" s="60">
        <f t="shared" si="45"/>
        <v>5</v>
      </c>
      <c r="V212" s="44">
        <f>IF($A201=TRUE,U212*$I201,0)</f>
        <v>0</v>
      </c>
      <c r="W212" s="1" t="s">
        <v>20</v>
      </c>
      <c r="X212" s="8" t="s">
        <v>18</v>
      </c>
      <c r="Y212" s="9" t="s">
        <v>18</v>
      </c>
      <c r="Z212" s="25">
        <v>4</v>
      </c>
      <c r="AA212" s="17">
        <v>4</v>
      </c>
      <c r="AB212" s="8" t="s">
        <v>18</v>
      </c>
      <c r="AC212" s="9" t="s">
        <v>18</v>
      </c>
      <c r="AD212" s="8" t="s">
        <v>18</v>
      </c>
      <c r="AE212" s="26">
        <v>5</v>
      </c>
      <c r="AF212" s="60">
        <f t="shared" si="46"/>
        <v>5</v>
      </c>
      <c r="AG212" s="44">
        <f>IF($A201=TRUE,AF212*$I201,0)</f>
        <v>0</v>
      </c>
      <c r="AH212" s="1" t="s">
        <v>20</v>
      </c>
      <c r="AI212" s="8" t="s">
        <v>18</v>
      </c>
      <c r="AJ212" s="9" t="s">
        <v>18</v>
      </c>
      <c r="AK212" s="25">
        <v>4</v>
      </c>
      <c r="AL212" s="17">
        <v>4</v>
      </c>
      <c r="AM212" s="8" t="s">
        <v>18</v>
      </c>
      <c r="AN212" s="9" t="s">
        <v>18</v>
      </c>
      <c r="AO212" s="8" t="s">
        <v>18</v>
      </c>
      <c r="AP212" s="26">
        <v>5</v>
      </c>
      <c r="AQ212" s="60">
        <f t="shared" si="47"/>
        <v>5</v>
      </c>
      <c r="AR212" s="44">
        <f>IF($A201=TRUE,AQ212*$I201,0)</f>
        <v>0</v>
      </c>
      <c r="AS212" s="1" t="s">
        <v>20</v>
      </c>
      <c r="AT212" s="8" t="s">
        <v>18</v>
      </c>
      <c r="AU212" s="9" t="s">
        <v>18</v>
      </c>
      <c r="AV212" s="8" t="s">
        <v>18</v>
      </c>
      <c r="AW212" s="9" t="s">
        <v>18</v>
      </c>
      <c r="AX212" s="8" t="s">
        <v>18</v>
      </c>
      <c r="AY212" s="9" t="s">
        <v>18</v>
      </c>
      <c r="AZ212" s="8" t="s">
        <v>18</v>
      </c>
      <c r="BA212" s="9" t="s">
        <v>18</v>
      </c>
      <c r="BB212" s="60">
        <f t="shared" si="48"/>
        <v>0</v>
      </c>
      <c r="BC212" s="44">
        <f>IF($A201=TRUE,BB212*$I201,0)</f>
        <v>0</v>
      </c>
    </row>
    <row r="213" spans="1:55" x14ac:dyDescent="0.3">
      <c r="A213" s="1" t="s">
        <v>3</v>
      </c>
      <c r="B213" s="8" t="s">
        <v>18</v>
      </c>
      <c r="C213" s="9" t="s">
        <v>18</v>
      </c>
      <c r="D213" s="25">
        <v>4</v>
      </c>
      <c r="E213" s="17">
        <v>4</v>
      </c>
      <c r="F213" s="8" t="s">
        <v>18</v>
      </c>
      <c r="G213" s="9" t="s">
        <v>18</v>
      </c>
      <c r="H213" s="8" t="s">
        <v>18</v>
      </c>
      <c r="I213" s="9" t="s">
        <v>18</v>
      </c>
      <c r="J213" s="60">
        <f t="shared" si="40"/>
        <v>4</v>
      </c>
      <c r="K213" s="44">
        <f>IF(A201=TRUE,J213*I201,0)</f>
        <v>0</v>
      </c>
      <c r="L213" s="1" t="s">
        <v>3</v>
      </c>
      <c r="M213" s="8" t="s">
        <v>18</v>
      </c>
      <c r="N213" s="9" t="s">
        <v>18</v>
      </c>
      <c r="O213" s="25">
        <v>4</v>
      </c>
      <c r="P213" s="17">
        <v>4</v>
      </c>
      <c r="Q213" s="8" t="s">
        <v>18</v>
      </c>
      <c r="R213" s="9" t="s">
        <v>18</v>
      </c>
      <c r="S213" s="8" t="s">
        <v>18</v>
      </c>
      <c r="T213" s="9" t="s">
        <v>18</v>
      </c>
      <c r="U213" s="60">
        <f t="shared" si="45"/>
        <v>4</v>
      </c>
      <c r="V213" s="44">
        <f>IF($A201=TRUE,U213*$I201,0)</f>
        <v>0</v>
      </c>
      <c r="W213" s="1" t="s">
        <v>3</v>
      </c>
      <c r="X213" s="8" t="s">
        <v>18</v>
      </c>
      <c r="Y213" s="9" t="s">
        <v>18</v>
      </c>
      <c r="Z213" s="25">
        <v>4</v>
      </c>
      <c r="AA213" s="17">
        <v>4</v>
      </c>
      <c r="AB213" s="8" t="s">
        <v>18</v>
      </c>
      <c r="AC213" s="9" t="s">
        <v>18</v>
      </c>
      <c r="AD213" s="8" t="s">
        <v>18</v>
      </c>
      <c r="AE213" s="9" t="s">
        <v>18</v>
      </c>
      <c r="AF213" s="60">
        <f t="shared" si="46"/>
        <v>4</v>
      </c>
      <c r="AG213" s="44">
        <f>IF($A201=TRUE,AF213*$I201,0)</f>
        <v>0</v>
      </c>
      <c r="AH213" s="1" t="s">
        <v>3</v>
      </c>
      <c r="AI213" s="8" t="s">
        <v>18</v>
      </c>
      <c r="AJ213" s="9" t="s">
        <v>18</v>
      </c>
      <c r="AK213" s="25">
        <v>4</v>
      </c>
      <c r="AL213" s="17">
        <v>4</v>
      </c>
      <c r="AM213" s="8" t="s">
        <v>18</v>
      </c>
      <c r="AN213" s="9" t="s">
        <v>18</v>
      </c>
      <c r="AO213" s="8" t="s">
        <v>18</v>
      </c>
      <c r="AP213" s="9" t="s">
        <v>18</v>
      </c>
      <c r="AQ213" s="60">
        <f t="shared" si="47"/>
        <v>4</v>
      </c>
      <c r="AR213" s="44">
        <f>IF($A201=TRUE,AQ213*$I201,0)</f>
        <v>0</v>
      </c>
      <c r="AS213" s="1" t="s">
        <v>3</v>
      </c>
      <c r="AT213" s="8" t="s">
        <v>18</v>
      </c>
      <c r="AU213" s="9" t="s">
        <v>18</v>
      </c>
      <c r="AV213" s="8" t="s">
        <v>18</v>
      </c>
      <c r="AW213" s="9" t="s">
        <v>18</v>
      </c>
      <c r="AX213" s="8" t="s">
        <v>18</v>
      </c>
      <c r="AY213" s="9" t="s">
        <v>18</v>
      </c>
      <c r="AZ213" s="40">
        <v>2</v>
      </c>
      <c r="BA213" s="41">
        <v>2</v>
      </c>
      <c r="BB213" s="60">
        <f t="shared" si="48"/>
        <v>2</v>
      </c>
      <c r="BC213" s="44">
        <f>IF($A201=TRUE,BB213*$I201,0)</f>
        <v>0</v>
      </c>
    </row>
    <row r="214" spans="1:55" x14ac:dyDescent="0.3">
      <c r="A214" s="13" t="s">
        <v>12</v>
      </c>
      <c r="B214" s="14" t="s">
        <v>18</v>
      </c>
      <c r="C214" s="15" t="s">
        <v>18</v>
      </c>
      <c r="D214" s="25">
        <v>4</v>
      </c>
      <c r="E214" s="17">
        <v>4</v>
      </c>
      <c r="F214" s="14" t="s">
        <v>18</v>
      </c>
      <c r="G214" s="15" t="s">
        <v>18</v>
      </c>
      <c r="H214" s="14" t="s">
        <v>18</v>
      </c>
      <c r="I214" s="15" t="s">
        <v>18</v>
      </c>
      <c r="J214" s="60">
        <f t="shared" si="40"/>
        <v>4</v>
      </c>
      <c r="K214" s="44">
        <f>IF(A201=TRUE,J214*I201,0)</f>
        <v>0</v>
      </c>
      <c r="L214" s="13" t="s">
        <v>12</v>
      </c>
      <c r="M214" s="14" t="s">
        <v>18</v>
      </c>
      <c r="N214" s="15" t="s">
        <v>18</v>
      </c>
      <c r="O214" s="25">
        <v>4</v>
      </c>
      <c r="P214" s="17">
        <v>4</v>
      </c>
      <c r="Q214" s="14" t="s">
        <v>18</v>
      </c>
      <c r="R214" s="15" t="s">
        <v>18</v>
      </c>
      <c r="S214" s="14" t="s">
        <v>18</v>
      </c>
      <c r="T214" s="15" t="s">
        <v>18</v>
      </c>
      <c r="U214" s="60">
        <f t="shared" si="45"/>
        <v>4</v>
      </c>
      <c r="V214" s="44">
        <f>IF($A201=TRUE,U214*$I201,0)</f>
        <v>0</v>
      </c>
      <c r="W214" s="13" t="s">
        <v>12</v>
      </c>
      <c r="X214" s="14" t="s">
        <v>18</v>
      </c>
      <c r="Y214" s="15" t="s">
        <v>18</v>
      </c>
      <c r="Z214" s="25">
        <v>4</v>
      </c>
      <c r="AA214" s="17">
        <v>4</v>
      </c>
      <c r="AB214" s="14" t="s">
        <v>18</v>
      </c>
      <c r="AC214" s="15" t="s">
        <v>18</v>
      </c>
      <c r="AD214" s="14" t="s">
        <v>18</v>
      </c>
      <c r="AE214" s="15" t="s">
        <v>18</v>
      </c>
      <c r="AF214" s="60">
        <f t="shared" si="46"/>
        <v>4</v>
      </c>
      <c r="AG214" s="44">
        <f>IF($A201=TRUE,AF214*$I201,0)</f>
        <v>0</v>
      </c>
      <c r="AH214" s="13" t="s">
        <v>12</v>
      </c>
      <c r="AI214" s="14" t="s">
        <v>18</v>
      </c>
      <c r="AJ214" s="15" t="s">
        <v>18</v>
      </c>
      <c r="AK214" s="25">
        <v>4</v>
      </c>
      <c r="AL214" s="17">
        <v>4</v>
      </c>
      <c r="AM214" s="14" t="s">
        <v>18</v>
      </c>
      <c r="AN214" s="15" t="s">
        <v>18</v>
      </c>
      <c r="AO214" s="14" t="s">
        <v>18</v>
      </c>
      <c r="AP214" s="15" t="s">
        <v>18</v>
      </c>
      <c r="AQ214" s="60">
        <f t="shared" si="47"/>
        <v>4</v>
      </c>
      <c r="AR214" s="44">
        <f>IF($A201=TRUE,AQ214*$I201,0)</f>
        <v>0</v>
      </c>
      <c r="AS214" s="13" t="s">
        <v>12</v>
      </c>
      <c r="AT214" s="14" t="s">
        <v>18</v>
      </c>
      <c r="AU214" s="15" t="s">
        <v>18</v>
      </c>
      <c r="AV214" s="25">
        <v>4</v>
      </c>
      <c r="AW214" s="17">
        <v>4</v>
      </c>
      <c r="AX214" s="14" t="s">
        <v>18</v>
      </c>
      <c r="AY214" s="15" t="s">
        <v>18</v>
      </c>
      <c r="AZ214" s="40">
        <v>2</v>
      </c>
      <c r="BA214" s="41">
        <v>2</v>
      </c>
      <c r="BB214" s="60">
        <f t="shared" si="48"/>
        <v>4</v>
      </c>
      <c r="BC214" s="44">
        <f>IF($A201=TRUE,BB214*$I201,0)</f>
        <v>0</v>
      </c>
    </row>
    <row r="215" spans="1:55" x14ac:dyDescent="0.3">
      <c r="J215" s="60"/>
    </row>
    <row r="216" spans="1:55" x14ac:dyDescent="0.3">
      <c r="A216" s="4" t="s">
        <v>19</v>
      </c>
      <c r="B216" s="2"/>
      <c r="C216" s="2"/>
      <c r="D216" s="2"/>
      <c r="E216" s="2"/>
      <c r="F216" s="2"/>
      <c r="G216" s="2"/>
      <c r="H216" s="2"/>
      <c r="I216" s="2" t="s">
        <v>26</v>
      </c>
      <c r="J216" s="60"/>
    </row>
    <row r="217" spans="1:55" x14ac:dyDescent="0.3">
      <c r="A217" s="2" t="b">
        <v>1</v>
      </c>
      <c r="B217" s="2"/>
      <c r="C217" s="2"/>
      <c r="D217" s="2"/>
      <c r="E217" s="2"/>
      <c r="F217" s="2"/>
      <c r="G217" s="2"/>
      <c r="H217" s="2"/>
      <c r="I217" s="2">
        <f>F33</f>
        <v>3</v>
      </c>
      <c r="J217" s="60"/>
    </row>
    <row r="218" spans="1:55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60"/>
    </row>
    <row r="219" spans="1:55" x14ac:dyDescent="0.3">
      <c r="A219" s="10" t="b">
        <v>0</v>
      </c>
      <c r="B219" s="85" t="s">
        <v>7</v>
      </c>
      <c r="C219" s="86"/>
      <c r="D219" s="85" t="s">
        <v>10</v>
      </c>
      <c r="E219" s="86"/>
      <c r="F219" s="87" t="s">
        <v>11</v>
      </c>
      <c r="G219" s="86"/>
      <c r="H219" s="85" t="s">
        <v>13</v>
      </c>
      <c r="I219" s="86"/>
      <c r="J219" s="60"/>
      <c r="L219" s="10" t="s">
        <v>14</v>
      </c>
      <c r="M219" s="85" t="s">
        <v>7</v>
      </c>
      <c r="N219" s="86"/>
      <c r="O219" s="85" t="s">
        <v>10</v>
      </c>
      <c r="P219" s="86"/>
      <c r="Q219" s="87" t="s">
        <v>11</v>
      </c>
      <c r="R219" s="86"/>
      <c r="S219" s="85" t="s">
        <v>13</v>
      </c>
      <c r="T219" s="86"/>
      <c r="W219" s="10" t="s">
        <v>14</v>
      </c>
      <c r="X219" s="85" t="s">
        <v>7</v>
      </c>
      <c r="Y219" s="86"/>
      <c r="Z219" s="85" t="s">
        <v>10</v>
      </c>
      <c r="AA219" s="86"/>
      <c r="AB219" s="87" t="s">
        <v>11</v>
      </c>
      <c r="AC219" s="86"/>
      <c r="AD219" s="85" t="s">
        <v>13</v>
      </c>
      <c r="AE219" s="86"/>
      <c r="AH219" s="10" t="s">
        <v>14</v>
      </c>
      <c r="AI219" s="85" t="s">
        <v>7</v>
      </c>
      <c r="AJ219" s="86"/>
      <c r="AK219" s="85" t="s">
        <v>10</v>
      </c>
      <c r="AL219" s="86"/>
      <c r="AM219" s="87" t="s">
        <v>11</v>
      </c>
      <c r="AN219" s="86"/>
      <c r="AO219" s="85" t="s">
        <v>13</v>
      </c>
      <c r="AP219" s="86"/>
      <c r="AS219" s="10" t="s">
        <v>14</v>
      </c>
      <c r="AT219" s="85" t="s">
        <v>7</v>
      </c>
      <c r="AU219" s="86"/>
      <c r="AV219" s="85" t="s">
        <v>10</v>
      </c>
      <c r="AW219" s="86"/>
      <c r="AX219" s="87" t="s">
        <v>11</v>
      </c>
      <c r="AY219" s="86"/>
      <c r="AZ219" s="85" t="s">
        <v>13</v>
      </c>
      <c r="BA219" s="86"/>
    </row>
    <row r="220" spans="1:55" ht="15" thickBot="1" x14ac:dyDescent="0.35">
      <c r="A220" s="11" t="s">
        <v>0</v>
      </c>
      <c r="B220" s="5" t="s">
        <v>8</v>
      </c>
      <c r="C220" s="6" t="s">
        <v>9</v>
      </c>
      <c r="D220" s="7" t="s">
        <v>8</v>
      </c>
      <c r="E220" s="6" t="s">
        <v>9</v>
      </c>
      <c r="F220" s="7" t="s">
        <v>8</v>
      </c>
      <c r="G220" s="6" t="s">
        <v>9</v>
      </c>
      <c r="H220" s="7" t="s">
        <v>8</v>
      </c>
      <c r="I220" s="6" t="s">
        <v>9</v>
      </c>
      <c r="J220" s="60"/>
      <c r="L220" s="11" t="s">
        <v>0</v>
      </c>
      <c r="M220" s="5" t="s">
        <v>8</v>
      </c>
      <c r="N220" s="6" t="s">
        <v>9</v>
      </c>
      <c r="O220" s="7" t="s">
        <v>8</v>
      </c>
      <c r="P220" s="6" t="s">
        <v>9</v>
      </c>
      <c r="Q220" s="7" t="s">
        <v>8</v>
      </c>
      <c r="R220" s="6" t="s">
        <v>9</v>
      </c>
      <c r="S220" s="7" t="s">
        <v>8</v>
      </c>
      <c r="T220" s="6" t="s">
        <v>9</v>
      </c>
      <c r="W220" s="11" t="s">
        <v>0</v>
      </c>
      <c r="X220" s="5" t="s">
        <v>8</v>
      </c>
      <c r="Y220" s="6" t="s">
        <v>9</v>
      </c>
      <c r="Z220" s="7" t="s">
        <v>8</v>
      </c>
      <c r="AA220" s="6" t="s">
        <v>9</v>
      </c>
      <c r="AB220" s="7" t="s">
        <v>8</v>
      </c>
      <c r="AC220" s="6" t="s">
        <v>9</v>
      </c>
      <c r="AD220" s="7" t="s">
        <v>8</v>
      </c>
      <c r="AE220" s="6" t="s">
        <v>9</v>
      </c>
      <c r="AH220" s="11" t="s">
        <v>0</v>
      </c>
      <c r="AI220" s="5" t="s">
        <v>8</v>
      </c>
      <c r="AJ220" s="6" t="s">
        <v>9</v>
      </c>
      <c r="AK220" s="7" t="s">
        <v>8</v>
      </c>
      <c r="AL220" s="6" t="s">
        <v>9</v>
      </c>
      <c r="AM220" s="7" t="s">
        <v>8</v>
      </c>
      <c r="AN220" s="6" t="s">
        <v>9</v>
      </c>
      <c r="AO220" s="7" t="s">
        <v>8</v>
      </c>
      <c r="AP220" s="6" t="s">
        <v>9</v>
      </c>
      <c r="AS220" s="11" t="s">
        <v>0</v>
      </c>
      <c r="AT220" s="5" t="s">
        <v>8</v>
      </c>
      <c r="AU220" s="6" t="s">
        <v>9</v>
      </c>
      <c r="AV220" s="7" t="s">
        <v>8</v>
      </c>
      <c r="AW220" s="6" t="s">
        <v>9</v>
      </c>
      <c r="AX220" s="7" t="s">
        <v>8</v>
      </c>
      <c r="AY220" s="6" t="s">
        <v>9</v>
      </c>
      <c r="AZ220" s="7" t="s">
        <v>8</v>
      </c>
      <c r="BA220" s="6" t="s">
        <v>9</v>
      </c>
    </row>
    <row r="221" spans="1:55" ht="15" thickTop="1" x14ac:dyDescent="0.3">
      <c r="A221" s="1" t="s">
        <v>4</v>
      </c>
      <c r="B221" s="24">
        <v>1</v>
      </c>
      <c r="C221" s="22">
        <v>1</v>
      </c>
      <c r="D221" s="20">
        <v>2</v>
      </c>
      <c r="E221" s="23">
        <v>2</v>
      </c>
      <c r="F221" s="20">
        <v>2</v>
      </c>
      <c r="G221" s="23">
        <v>2</v>
      </c>
      <c r="H221" s="8" t="s">
        <v>18</v>
      </c>
      <c r="I221" s="9" t="s">
        <v>18</v>
      </c>
      <c r="J221" s="60">
        <f t="shared" si="40"/>
        <v>2</v>
      </c>
      <c r="K221" s="44">
        <f>IF(A217=TRUE,J221*I217,0)</f>
        <v>6</v>
      </c>
      <c r="L221" s="1" t="s">
        <v>4</v>
      </c>
      <c r="M221" s="24">
        <v>1</v>
      </c>
      <c r="N221" s="22">
        <v>1</v>
      </c>
      <c r="O221" s="20">
        <v>2</v>
      </c>
      <c r="P221" s="23">
        <v>2</v>
      </c>
      <c r="Q221" s="20">
        <v>2</v>
      </c>
      <c r="R221" s="23">
        <v>2</v>
      </c>
      <c r="S221" s="8" t="s">
        <v>18</v>
      </c>
      <c r="T221" s="9" t="s">
        <v>18</v>
      </c>
      <c r="U221" s="60">
        <f>MAX(M221:T221)</f>
        <v>2</v>
      </c>
      <c r="V221" s="44">
        <f>IF($A217=TRUE,U221*$I217,0)</f>
        <v>6</v>
      </c>
      <c r="W221" s="1" t="s">
        <v>4</v>
      </c>
      <c r="X221" s="24">
        <v>1</v>
      </c>
      <c r="Y221" s="22">
        <v>1</v>
      </c>
      <c r="Z221" s="20">
        <v>2</v>
      </c>
      <c r="AA221" s="23">
        <v>2</v>
      </c>
      <c r="AB221" s="20">
        <v>2</v>
      </c>
      <c r="AC221" s="23">
        <v>2</v>
      </c>
      <c r="AD221" s="8" t="s">
        <v>18</v>
      </c>
      <c r="AE221" s="9" t="s">
        <v>18</v>
      </c>
      <c r="AF221" s="60">
        <f>MAX(X221:AE221)</f>
        <v>2</v>
      </c>
      <c r="AG221" s="44">
        <f>IF($A217=TRUE,AF221*$I217,0)</f>
        <v>6</v>
      </c>
      <c r="AH221" s="1" t="s">
        <v>4</v>
      </c>
      <c r="AI221" s="24">
        <v>1</v>
      </c>
      <c r="AJ221" s="22">
        <v>1</v>
      </c>
      <c r="AK221" s="20">
        <v>2</v>
      </c>
      <c r="AL221" s="23">
        <v>2</v>
      </c>
      <c r="AM221" s="20">
        <v>2</v>
      </c>
      <c r="AN221" s="23">
        <v>2</v>
      </c>
      <c r="AO221" s="8" t="s">
        <v>18</v>
      </c>
      <c r="AP221" s="9" t="s">
        <v>18</v>
      </c>
      <c r="AQ221" s="60">
        <f>MAX(AI221:AP221)</f>
        <v>2</v>
      </c>
      <c r="AR221" s="44">
        <f>IF($A217=TRUE,AQ221*$I217,0)</f>
        <v>6</v>
      </c>
      <c r="AS221" s="1" t="s">
        <v>4</v>
      </c>
      <c r="AT221" s="8" t="s">
        <v>18</v>
      </c>
      <c r="AU221" s="9" t="s">
        <v>18</v>
      </c>
      <c r="AV221" s="8" t="s">
        <v>18</v>
      </c>
      <c r="AW221" s="9" t="s">
        <v>18</v>
      </c>
      <c r="AX221" s="8" t="s">
        <v>18</v>
      </c>
      <c r="AY221" s="9" t="s">
        <v>18</v>
      </c>
      <c r="AZ221" s="8" t="s">
        <v>18</v>
      </c>
      <c r="BA221" s="9" t="s">
        <v>18</v>
      </c>
      <c r="BB221" s="60">
        <f>MAX(AT221:BA221)</f>
        <v>0</v>
      </c>
      <c r="BC221" s="44">
        <f>IF($A217=TRUE,BB221*$I217,0)</f>
        <v>0</v>
      </c>
    </row>
    <row r="222" spans="1:55" x14ac:dyDescent="0.3">
      <c r="A222" s="1" t="s">
        <v>5</v>
      </c>
      <c r="B222" s="54">
        <v>1</v>
      </c>
      <c r="C222" s="22">
        <v>1</v>
      </c>
      <c r="D222" s="8" t="s">
        <v>18</v>
      </c>
      <c r="E222" s="9" t="s">
        <v>18</v>
      </c>
      <c r="F222" s="20">
        <v>2</v>
      </c>
      <c r="G222" s="23">
        <v>2</v>
      </c>
      <c r="H222" s="8" t="s">
        <v>18</v>
      </c>
      <c r="I222" s="9" t="s">
        <v>18</v>
      </c>
      <c r="J222" s="60">
        <f t="shared" si="40"/>
        <v>2</v>
      </c>
      <c r="K222" s="44">
        <f>IF(A217=TRUE,J222*I217,0)</f>
        <v>6</v>
      </c>
      <c r="L222" s="1" t="s">
        <v>5</v>
      </c>
      <c r="M222" s="54">
        <v>1</v>
      </c>
      <c r="N222" s="22">
        <v>1</v>
      </c>
      <c r="O222" s="8" t="s">
        <v>18</v>
      </c>
      <c r="P222" s="9" t="s">
        <v>18</v>
      </c>
      <c r="Q222" s="20">
        <v>2</v>
      </c>
      <c r="R222" s="23">
        <v>2</v>
      </c>
      <c r="S222" s="8" t="s">
        <v>18</v>
      </c>
      <c r="T222" s="9" t="s">
        <v>18</v>
      </c>
      <c r="U222" s="60">
        <f t="shared" ref="U222:U230" si="49">MAX(M222:T222)</f>
        <v>2</v>
      </c>
      <c r="V222" s="44">
        <f>IF($A217=TRUE,U222*$I217,0)</f>
        <v>6</v>
      </c>
      <c r="W222" s="1" t="s">
        <v>5</v>
      </c>
      <c r="X222" s="54">
        <v>1</v>
      </c>
      <c r="Y222" s="22">
        <v>1</v>
      </c>
      <c r="Z222" s="8" t="s">
        <v>18</v>
      </c>
      <c r="AA222" s="9" t="s">
        <v>18</v>
      </c>
      <c r="AB222" s="20">
        <v>2</v>
      </c>
      <c r="AC222" s="23">
        <v>2</v>
      </c>
      <c r="AD222" s="8" t="s">
        <v>18</v>
      </c>
      <c r="AE222" s="9" t="s">
        <v>18</v>
      </c>
      <c r="AF222" s="60">
        <f t="shared" ref="AF222:AF230" si="50">MAX(X222:AE222)</f>
        <v>2</v>
      </c>
      <c r="AG222" s="44">
        <f>IF($A217=TRUE,AF222*$I217,0)</f>
        <v>6</v>
      </c>
      <c r="AH222" s="1" t="s">
        <v>5</v>
      </c>
      <c r="AI222" s="54">
        <v>1</v>
      </c>
      <c r="AJ222" s="22">
        <v>1</v>
      </c>
      <c r="AK222" s="8" t="s">
        <v>18</v>
      </c>
      <c r="AL222" s="9" t="s">
        <v>18</v>
      </c>
      <c r="AM222" s="20">
        <v>2</v>
      </c>
      <c r="AN222" s="23">
        <v>2</v>
      </c>
      <c r="AO222" s="8" t="s">
        <v>18</v>
      </c>
      <c r="AP222" s="9" t="s">
        <v>18</v>
      </c>
      <c r="AQ222" s="60">
        <f t="shared" ref="AQ222:AQ230" si="51">MAX(AI222:AP222)</f>
        <v>2</v>
      </c>
      <c r="AR222" s="44">
        <f>IF($A217=TRUE,AQ222*$I217,0)</f>
        <v>6</v>
      </c>
      <c r="AS222" s="1" t="s">
        <v>5</v>
      </c>
      <c r="AT222" s="8" t="s">
        <v>18</v>
      </c>
      <c r="AU222" s="9" t="s">
        <v>18</v>
      </c>
      <c r="AV222" s="8" t="s">
        <v>18</v>
      </c>
      <c r="AW222" s="9" t="s">
        <v>18</v>
      </c>
      <c r="AX222" s="8" t="s">
        <v>18</v>
      </c>
      <c r="AY222" s="9" t="s">
        <v>18</v>
      </c>
      <c r="AZ222" s="8" t="s">
        <v>18</v>
      </c>
      <c r="BA222" s="9" t="s">
        <v>18</v>
      </c>
      <c r="BB222" s="60">
        <f t="shared" ref="BB222:BB230" si="52">MAX(AT222:BA222)</f>
        <v>0</v>
      </c>
      <c r="BC222" s="44">
        <f>IF($A217=TRUE,BB222*$I217,0)</f>
        <v>0</v>
      </c>
    </row>
    <row r="223" spans="1:55" x14ac:dyDescent="0.3">
      <c r="A223" s="1" t="s">
        <v>6</v>
      </c>
      <c r="B223" s="54">
        <v>1</v>
      </c>
      <c r="C223" s="22">
        <v>1</v>
      </c>
      <c r="D223" s="8" t="s">
        <v>18</v>
      </c>
      <c r="E223" s="9" t="s">
        <v>18</v>
      </c>
      <c r="F223" s="20">
        <v>2</v>
      </c>
      <c r="G223" s="23">
        <v>2</v>
      </c>
      <c r="H223" s="8" t="s">
        <v>18</v>
      </c>
      <c r="I223" s="9" t="s">
        <v>18</v>
      </c>
      <c r="J223" s="60">
        <f t="shared" si="40"/>
        <v>2</v>
      </c>
      <c r="K223" s="44">
        <f>IF(A217=TRUE,J223*I217,0)</f>
        <v>6</v>
      </c>
      <c r="L223" s="1" t="s">
        <v>6</v>
      </c>
      <c r="M223" s="54">
        <v>1</v>
      </c>
      <c r="N223" s="22">
        <v>1</v>
      </c>
      <c r="O223" s="8" t="s">
        <v>18</v>
      </c>
      <c r="P223" s="9" t="s">
        <v>18</v>
      </c>
      <c r="Q223" s="20">
        <v>2</v>
      </c>
      <c r="R223" s="23">
        <v>2</v>
      </c>
      <c r="S223" s="8" t="s">
        <v>18</v>
      </c>
      <c r="T223" s="9" t="s">
        <v>18</v>
      </c>
      <c r="U223" s="60">
        <f t="shared" si="49"/>
        <v>2</v>
      </c>
      <c r="V223" s="44">
        <f>IF($A217=TRUE,U223*$I217,0)</f>
        <v>6</v>
      </c>
      <c r="W223" s="1" t="s">
        <v>6</v>
      </c>
      <c r="X223" s="54">
        <v>1</v>
      </c>
      <c r="Y223" s="22">
        <v>1</v>
      </c>
      <c r="Z223" s="8" t="s">
        <v>18</v>
      </c>
      <c r="AA223" s="9" t="s">
        <v>18</v>
      </c>
      <c r="AB223" s="20">
        <v>2</v>
      </c>
      <c r="AC223" s="23">
        <v>2</v>
      </c>
      <c r="AD223" s="8" t="s">
        <v>18</v>
      </c>
      <c r="AE223" s="9" t="s">
        <v>18</v>
      </c>
      <c r="AF223" s="60">
        <f t="shared" si="50"/>
        <v>2</v>
      </c>
      <c r="AG223" s="44">
        <f>IF($A217=TRUE,AF223*$I217,0)</f>
        <v>6</v>
      </c>
      <c r="AH223" s="1" t="s">
        <v>6</v>
      </c>
      <c r="AI223" s="54">
        <v>1</v>
      </c>
      <c r="AJ223" s="22">
        <v>1</v>
      </c>
      <c r="AK223" s="8" t="s">
        <v>18</v>
      </c>
      <c r="AL223" s="9" t="s">
        <v>18</v>
      </c>
      <c r="AM223" s="20">
        <v>2</v>
      </c>
      <c r="AN223" s="23">
        <v>2</v>
      </c>
      <c r="AO223" s="8" t="s">
        <v>18</v>
      </c>
      <c r="AP223" s="9" t="s">
        <v>18</v>
      </c>
      <c r="AQ223" s="60">
        <f t="shared" si="51"/>
        <v>2</v>
      </c>
      <c r="AR223" s="44">
        <f>IF($A217=TRUE,AQ223*$I217,0)</f>
        <v>6</v>
      </c>
      <c r="AS223" s="1" t="s">
        <v>6</v>
      </c>
      <c r="AT223" s="8" t="s">
        <v>18</v>
      </c>
      <c r="AU223" s="9" t="s">
        <v>18</v>
      </c>
      <c r="AV223" s="8" t="s">
        <v>18</v>
      </c>
      <c r="AW223" s="9" t="s">
        <v>18</v>
      </c>
      <c r="AX223" s="8" t="s">
        <v>18</v>
      </c>
      <c r="AY223" s="9" t="s">
        <v>18</v>
      </c>
      <c r="AZ223" s="8" t="s">
        <v>18</v>
      </c>
      <c r="BA223" s="9" t="s">
        <v>18</v>
      </c>
      <c r="BB223" s="60">
        <f t="shared" si="52"/>
        <v>0</v>
      </c>
      <c r="BC223" s="44">
        <f>IF($A217=TRUE,BB223*$I217,0)</f>
        <v>0</v>
      </c>
    </row>
    <row r="224" spans="1:55" x14ac:dyDescent="0.3">
      <c r="A224" s="1" t="s">
        <v>1</v>
      </c>
      <c r="B224" s="8" t="s">
        <v>18</v>
      </c>
      <c r="C224" s="9" t="s">
        <v>18</v>
      </c>
      <c r="D224" s="8" t="s">
        <v>18</v>
      </c>
      <c r="E224" s="9" t="s">
        <v>18</v>
      </c>
      <c r="F224" s="8" t="s">
        <v>18</v>
      </c>
      <c r="G224" s="9" t="s">
        <v>18</v>
      </c>
      <c r="H224" s="18">
        <v>3</v>
      </c>
      <c r="I224" s="19">
        <v>3</v>
      </c>
      <c r="J224" s="60">
        <f t="shared" si="40"/>
        <v>3</v>
      </c>
      <c r="K224" s="44">
        <f>IF(A217=TRUE,J224*I217,0)</f>
        <v>9</v>
      </c>
      <c r="L224" s="1" t="s">
        <v>1</v>
      </c>
      <c r="M224" s="8" t="s">
        <v>18</v>
      </c>
      <c r="N224" s="9" t="s">
        <v>18</v>
      </c>
      <c r="O224" s="8" t="s">
        <v>18</v>
      </c>
      <c r="P224" s="9" t="s">
        <v>18</v>
      </c>
      <c r="Q224" s="8" t="s">
        <v>18</v>
      </c>
      <c r="R224" s="9" t="s">
        <v>18</v>
      </c>
      <c r="S224" s="18">
        <v>3</v>
      </c>
      <c r="T224" s="19">
        <v>3</v>
      </c>
      <c r="U224" s="60">
        <f t="shared" si="49"/>
        <v>3</v>
      </c>
      <c r="V224" s="44">
        <f>IF($A217=TRUE,U224*$I217,0)</f>
        <v>9</v>
      </c>
      <c r="W224" s="1" t="s">
        <v>1</v>
      </c>
      <c r="X224" s="8" t="s">
        <v>18</v>
      </c>
      <c r="Y224" s="9" t="s">
        <v>18</v>
      </c>
      <c r="Z224" s="8" t="s">
        <v>18</v>
      </c>
      <c r="AA224" s="9" t="s">
        <v>18</v>
      </c>
      <c r="AB224" s="8" t="s">
        <v>18</v>
      </c>
      <c r="AC224" s="9" t="s">
        <v>18</v>
      </c>
      <c r="AD224" s="18">
        <v>3</v>
      </c>
      <c r="AE224" s="19">
        <v>3</v>
      </c>
      <c r="AF224" s="60">
        <f t="shared" si="50"/>
        <v>3</v>
      </c>
      <c r="AG224" s="44">
        <f>IF($A217=TRUE,AF224*$I217,0)</f>
        <v>9</v>
      </c>
      <c r="AH224" s="1" t="s">
        <v>1</v>
      </c>
      <c r="AI224" s="8" t="s">
        <v>18</v>
      </c>
      <c r="AJ224" s="9" t="s">
        <v>18</v>
      </c>
      <c r="AK224" s="8" t="s">
        <v>18</v>
      </c>
      <c r="AL224" s="9" t="s">
        <v>18</v>
      </c>
      <c r="AM224" s="8" t="s">
        <v>18</v>
      </c>
      <c r="AN224" s="9" t="s">
        <v>18</v>
      </c>
      <c r="AO224" s="21">
        <v>5</v>
      </c>
      <c r="AP224" s="26">
        <v>5</v>
      </c>
      <c r="AQ224" s="60">
        <f t="shared" si="51"/>
        <v>5</v>
      </c>
      <c r="AR224" s="44">
        <f>IF($A217=TRUE,AQ224*$I217,0)</f>
        <v>15</v>
      </c>
      <c r="AS224" s="1" t="s">
        <v>1</v>
      </c>
      <c r="AT224" s="8" t="s">
        <v>18</v>
      </c>
      <c r="AU224" s="9" t="s">
        <v>18</v>
      </c>
      <c r="AV224" s="8" t="s">
        <v>18</v>
      </c>
      <c r="AW224" s="9" t="s">
        <v>18</v>
      </c>
      <c r="AX224" s="8" t="s">
        <v>18</v>
      </c>
      <c r="AY224" s="9" t="s">
        <v>18</v>
      </c>
      <c r="AZ224" s="8" t="s">
        <v>18</v>
      </c>
      <c r="BA224" s="9" t="s">
        <v>18</v>
      </c>
      <c r="BB224" s="60">
        <f t="shared" si="52"/>
        <v>0</v>
      </c>
      <c r="BC224" s="44">
        <f>IF($A217=TRUE,BB224*$I217,0)</f>
        <v>0</v>
      </c>
    </row>
    <row r="225" spans="1:55" x14ac:dyDescent="0.3">
      <c r="A225" s="1" t="s">
        <v>16</v>
      </c>
      <c r="B225" s="8" t="s">
        <v>18</v>
      </c>
      <c r="C225" s="9" t="s">
        <v>18</v>
      </c>
      <c r="D225" s="8" t="s">
        <v>18</v>
      </c>
      <c r="E225" s="9" t="s">
        <v>18</v>
      </c>
      <c r="F225" s="8" t="s">
        <v>18</v>
      </c>
      <c r="G225" s="26">
        <v>5</v>
      </c>
      <c r="H225" s="8" t="s">
        <v>18</v>
      </c>
      <c r="I225" s="26">
        <v>5</v>
      </c>
      <c r="J225" s="60">
        <f t="shared" si="40"/>
        <v>5</v>
      </c>
      <c r="K225" s="44">
        <f>IF(A217=TRUE,J225*I217,0)</f>
        <v>15</v>
      </c>
      <c r="L225" s="1" t="s">
        <v>16</v>
      </c>
      <c r="M225" s="8" t="s">
        <v>18</v>
      </c>
      <c r="N225" s="9" t="s">
        <v>18</v>
      </c>
      <c r="O225" s="8" t="s">
        <v>18</v>
      </c>
      <c r="P225" s="9" t="s">
        <v>18</v>
      </c>
      <c r="Q225" s="8" t="s">
        <v>18</v>
      </c>
      <c r="R225" s="26">
        <v>5</v>
      </c>
      <c r="S225" s="8" t="s">
        <v>18</v>
      </c>
      <c r="T225" s="26">
        <v>5</v>
      </c>
      <c r="U225" s="60">
        <f t="shared" si="49"/>
        <v>5</v>
      </c>
      <c r="V225" s="44">
        <f>IF($A217=TRUE,U225*$I217,0)</f>
        <v>15</v>
      </c>
      <c r="W225" s="1" t="s">
        <v>16</v>
      </c>
      <c r="X225" s="8" t="s">
        <v>18</v>
      </c>
      <c r="Y225" s="9" t="s">
        <v>18</v>
      </c>
      <c r="Z225" s="8" t="s">
        <v>18</v>
      </c>
      <c r="AA225" s="9" t="s">
        <v>18</v>
      </c>
      <c r="AB225" s="8" t="s">
        <v>18</v>
      </c>
      <c r="AC225" s="26">
        <v>5</v>
      </c>
      <c r="AD225" s="8" t="s">
        <v>18</v>
      </c>
      <c r="AE225" s="26">
        <v>5</v>
      </c>
      <c r="AF225" s="60">
        <f t="shared" si="50"/>
        <v>5</v>
      </c>
      <c r="AG225" s="44">
        <f>IF($A217=TRUE,AF225*$I217,0)</f>
        <v>15</v>
      </c>
      <c r="AH225" s="1" t="s">
        <v>16</v>
      </c>
      <c r="AI225" s="8" t="s">
        <v>18</v>
      </c>
      <c r="AJ225" s="9" t="s">
        <v>18</v>
      </c>
      <c r="AK225" s="8" t="s">
        <v>18</v>
      </c>
      <c r="AL225" s="9" t="s">
        <v>18</v>
      </c>
      <c r="AM225" s="8" t="s">
        <v>18</v>
      </c>
      <c r="AN225" s="26">
        <v>5</v>
      </c>
      <c r="AO225" s="8" t="s">
        <v>18</v>
      </c>
      <c r="AP225" s="26">
        <v>5</v>
      </c>
      <c r="AQ225" s="60">
        <f t="shared" si="51"/>
        <v>5</v>
      </c>
      <c r="AR225" s="44">
        <f>IF($A217=TRUE,AQ225*$I217,0)</f>
        <v>15</v>
      </c>
      <c r="AS225" s="1" t="s">
        <v>16</v>
      </c>
      <c r="AT225" s="8" t="s">
        <v>18</v>
      </c>
      <c r="AU225" s="9" t="s">
        <v>18</v>
      </c>
      <c r="AV225" s="8" t="s">
        <v>18</v>
      </c>
      <c r="AW225" s="9" t="s">
        <v>18</v>
      </c>
      <c r="AX225" s="8" t="s">
        <v>18</v>
      </c>
      <c r="AY225" s="9" t="s">
        <v>18</v>
      </c>
      <c r="AZ225" s="8" t="s">
        <v>18</v>
      </c>
      <c r="BA225" s="9" t="s">
        <v>18</v>
      </c>
      <c r="BB225" s="60">
        <f t="shared" si="52"/>
        <v>0</v>
      </c>
      <c r="BC225" s="44">
        <f>IF($A217=TRUE,BB225*$I217,0)</f>
        <v>0</v>
      </c>
    </row>
    <row r="226" spans="1:55" x14ac:dyDescent="0.3">
      <c r="A226" s="1" t="s">
        <v>17</v>
      </c>
      <c r="B226" s="8" t="s">
        <v>18</v>
      </c>
      <c r="C226" s="9" t="s">
        <v>18</v>
      </c>
      <c r="D226" s="25">
        <v>4</v>
      </c>
      <c r="E226" s="17">
        <v>4</v>
      </c>
      <c r="F226" s="8" t="s">
        <v>18</v>
      </c>
      <c r="G226" s="9" t="s">
        <v>18</v>
      </c>
      <c r="H226" s="21">
        <v>5</v>
      </c>
      <c r="I226" s="26">
        <v>5</v>
      </c>
      <c r="J226" s="60">
        <f t="shared" si="40"/>
        <v>5</v>
      </c>
      <c r="K226" s="44">
        <f>IF(A217=TRUE,J226*I217,0)</f>
        <v>15</v>
      </c>
      <c r="L226" s="1" t="s">
        <v>17</v>
      </c>
      <c r="M226" s="8" t="s">
        <v>18</v>
      </c>
      <c r="N226" s="9" t="s">
        <v>18</v>
      </c>
      <c r="O226" s="25">
        <v>4</v>
      </c>
      <c r="P226" s="17">
        <v>4</v>
      </c>
      <c r="Q226" s="8" t="s">
        <v>18</v>
      </c>
      <c r="R226" s="9" t="s">
        <v>18</v>
      </c>
      <c r="S226" s="21">
        <v>5</v>
      </c>
      <c r="T226" s="26">
        <v>5</v>
      </c>
      <c r="U226" s="60">
        <f t="shared" si="49"/>
        <v>5</v>
      </c>
      <c r="V226" s="44">
        <f>IF($A217=TRUE,U226*$I217,0)</f>
        <v>15</v>
      </c>
      <c r="W226" s="1" t="s">
        <v>17</v>
      </c>
      <c r="X226" s="8" t="s">
        <v>18</v>
      </c>
      <c r="Y226" s="9" t="s">
        <v>18</v>
      </c>
      <c r="Z226" s="25">
        <v>4</v>
      </c>
      <c r="AA226" s="17">
        <v>4</v>
      </c>
      <c r="AB226" s="8" t="s">
        <v>18</v>
      </c>
      <c r="AC226" s="9" t="s">
        <v>18</v>
      </c>
      <c r="AD226" s="21">
        <v>5</v>
      </c>
      <c r="AE226" s="26">
        <v>5</v>
      </c>
      <c r="AF226" s="60">
        <f t="shared" si="50"/>
        <v>5</v>
      </c>
      <c r="AG226" s="44">
        <f>IF($A217=TRUE,AF226*$I217,0)</f>
        <v>15</v>
      </c>
      <c r="AH226" s="1" t="s">
        <v>17</v>
      </c>
      <c r="AI226" s="8" t="s">
        <v>18</v>
      </c>
      <c r="AJ226" s="9" t="s">
        <v>18</v>
      </c>
      <c r="AK226" s="25">
        <v>4</v>
      </c>
      <c r="AL226" s="17">
        <v>4</v>
      </c>
      <c r="AM226" s="8" t="s">
        <v>18</v>
      </c>
      <c r="AN226" s="9" t="s">
        <v>18</v>
      </c>
      <c r="AO226" s="21">
        <v>5</v>
      </c>
      <c r="AP226" s="26">
        <v>5</v>
      </c>
      <c r="AQ226" s="60">
        <f t="shared" si="51"/>
        <v>5</v>
      </c>
      <c r="AR226" s="44">
        <f>IF($A217=TRUE,AQ226*$I217,0)</f>
        <v>15</v>
      </c>
      <c r="AS226" s="1" t="s">
        <v>17</v>
      </c>
      <c r="AT226" s="8" t="s">
        <v>18</v>
      </c>
      <c r="AU226" s="9" t="s">
        <v>18</v>
      </c>
      <c r="AV226" s="25">
        <v>4</v>
      </c>
      <c r="AW226" s="17">
        <v>4</v>
      </c>
      <c r="AX226" s="8" t="s">
        <v>18</v>
      </c>
      <c r="AY226" s="9" t="s">
        <v>18</v>
      </c>
      <c r="AZ226" s="16">
        <v>4</v>
      </c>
      <c r="BA226" s="17">
        <v>4</v>
      </c>
      <c r="BB226" s="60">
        <f t="shared" si="52"/>
        <v>4</v>
      </c>
      <c r="BC226" s="44">
        <f>IF($A217=TRUE,BB226*$I217,0)</f>
        <v>12</v>
      </c>
    </row>
    <row r="227" spans="1:55" x14ac:dyDescent="0.3">
      <c r="A227" s="1" t="s">
        <v>2</v>
      </c>
      <c r="B227" s="21">
        <v>5</v>
      </c>
      <c r="C227" s="26">
        <v>5</v>
      </c>
      <c r="D227" s="8" t="s">
        <v>18</v>
      </c>
      <c r="E227" s="9" t="s">
        <v>18</v>
      </c>
      <c r="F227" s="25">
        <v>4</v>
      </c>
      <c r="G227" s="17">
        <v>4</v>
      </c>
      <c r="H227" s="8" t="s">
        <v>18</v>
      </c>
      <c r="I227" s="9" t="s">
        <v>18</v>
      </c>
      <c r="J227" s="60">
        <f t="shared" si="40"/>
        <v>5</v>
      </c>
      <c r="K227" s="44">
        <f>IF(A217=TRUE,J227*I217,0)</f>
        <v>15</v>
      </c>
      <c r="L227" s="1" t="s">
        <v>2</v>
      </c>
      <c r="M227" s="21">
        <v>5</v>
      </c>
      <c r="N227" s="26">
        <v>5</v>
      </c>
      <c r="O227" s="8" t="s">
        <v>18</v>
      </c>
      <c r="P227" s="9" t="s">
        <v>18</v>
      </c>
      <c r="Q227" s="25">
        <v>4</v>
      </c>
      <c r="R227" s="17">
        <v>4</v>
      </c>
      <c r="S227" s="8" t="s">
        <v>18</v>
      </c>
      <c r="T227" s="9" t="s">
        <v>18</v>
      </c>
      <c r="U227" s="60">
        <f t="shared" si="49"/>
        <v>5</v>
      </c>
      <c r="V227" s="44">
        <f>IF($A217=TRUE,U227*$I217,0)</f>
        <v>15</v>
      </c>
      <c r="W227" s="1" t="s">
        <v>2</v>
      </c>
      <c r="X227" s="21">
        <v>5</v>
      </c>
      <c r="Y227" s="26">
        <v>5</v>
      </c>
      <c r="Z227" s="8" t="s">
        <v>18</v>
      </c>
      <c r="AA227" s="9" t="s">
        <v>18</v>
      </c>
      <c r="AB227" s="25">
        <v>4</v>
      </c>
      <c r="AC227" s="17">
        <v>4</v>
      </c>
      <c r="AD227" s="8" t="s">
        <v>18</v>
      </c>
      <c r="AE227" s="9" t="s">
        <v>18</v>
      </c>
      <c r="AF227" s="60">
        <f t="shared" si="50"/>
        <v>5</v>
      </c>
      <c r="AG227" s="44">
        <f>IF($A217=TRUE,AF227*$I217,0)</f>
        <v>15</v>
      </c>
      <c r="AH227" s="1" t="s">
        <v>2</v>
      </c>
      <c r="AI227" s="21">
        <v>5</v>
      </c>
      <c r="AJ227" s="26">
        <v>5</v>
      </c>
      <c r="AK227" s="8" t="s">
        <v>18</v>
      </c>
      <c r="AL227" s="9" t="s">
        <v>18</v>
      </c>
      <c r="AM227" s="25">
        <v>4</v>
      </c>
      <c r="AN227" s="17">
        <v>4</v>
      </c>
      <c r="AO227" s="8" t="s">
        <v>18</v>
      </c>
      <c r="AP227" s="9" t="s">
        <v>18</v>
      </c>
      <c r="AQ227" s="60">
        <f t="shared" si="51"/>
        <v>5</v>
      </c>
      <c r="AR227" s="44">
        <f>IF($A217=TRUE,AQ227*$I217,0)</f>
        <v>15</v>
      </c>
      <c r="AS227" s="1" t="s">
        <v>2</v>
      </c>
      <c r="AT227" s="8" t="s">
        <v>18</v>
      </c>
      <c r="AU227" s="9" t="s">
        <v>18</v>
      </c>
      <c r="AV227" s="8" t="s">
        <v>18</v>
      </c>
      <c r="AW227" s="9" t="s">
        <v>18</v>
      </c>
      <c r="AX227" s="8" t="s">
        <v>18</v>
      </c>
      <c r="AY227" s="9" t="s">
        <v>18</v>
      </c>
      <c r="AZ227" s="8" t="s">
        <v>18</v>
      </c>
      <c r="BA227" s="9" t="s">
        <v>18</v>
      </c>
      <c r="BB227" s="60">
        <f t="shared" si="52"/>
        <v>0</v>
      </c>
      <c r="BC227" s="44">
        <f>IF($A217=TRUE,BB227*$I217,0)</f>
        <v>0</v>
      </c>
    </row>
    <row r="228" spans="1:55" x14ac:dyDescent="0.3">
      <c r="A228" s="1" t="s">
        <v>20</v>
      </c>
      <c r="B228" s="8" t="s">
        <v>18</v>
      </c>
      <c r="C228" s="9" t="s">
        <v>18</v>
      </c>
      <c r="D228" s="21">
        <v>5</v>
      </c>
      <c r="E228" s="26">
        <v>5</v>
      </c>
      <c r="F228" s="8" t="s">
        <v>18</v>
      </c>
      <c r="G228" s="9" t="s">
        <v>18</v>
      </c>
      <c r="H228" s="8" t="s">
        <v>18</v>
      </c>
      <c r="I228" s="26">
        <v>5</v>
      </c>
      <c r="J228" s="60">
        <f t="shared" si="40"/>
        <v>5</v>
      </c>
      <c r="K228" s="44">
        <f>IF(A217=TRUE,J228*I217,0)</f>
        <v>15</v>
      </c>
      <c r="L228" s="1" t="s">
        <v>20</v>
      </c>
      <c r="M228" s="8" t="s">
        <v>18</v>
      </c>
      <c r="N228" s="9" t="s">
        <v>18</v>
      </c>
      <c r="O228" s="21">
        <v>5</v>
      </c>
      <c r="P228" s="26">
        <v>5</v>
      </c>
      <c r="Q228" s="8" t="s">
        <v>18</v>
      </c>
      <c r="R228" s="9" t="s">
        <v>18</v>
      </c>
      <c r="S228" s="8" t="s">
        <v>18</v>
      </c>
      <c r="T228" s="26">
        <v>5</v>
      </c>
      <c r="U228" s="60">
        <f t="shared" si="49"/>
        <v>5</v>
      </c>
      <c r="V228" s="44">
        <f>IF($A217=TRUE,U228*$I217,0)</f>
        <v>15</v>
      </c>
      <c r="W228" s="1" t="s">
        <v>20</v>
      </c>
      <c r="X228" s="8" t="s">
        <v>18</v>
      </c>
      <c r="Y228" s="9" t="s">
        <v>18</v>
      </c>
      <c r="Z228" s="21">
        <v>5</v>
      </c>
      <c r="AA228" s="26">
        <v>5</v>
      </c>
      <c r="AB228" s="8" t="s">
        <v>18</v>
      </c>
      <c r="AC228" s="9" t="s">
        <v>18</v>
      </c>
      <c r="AD228" s="8" t="s">
        <v>18</v>
      </c>
      <c r="AE228" s="26">
        <v>5</v>
      </c>
      <c r="AF228" s="60">
        <f t="shared" si="50"/>
        <v>5</v>
      </c>
      <c r="AG228" s="44">
        <f>IF($A217=TRUE,AF228*$I217,0)</f>
        <v>15</v>
      </c>
      <c r="AH228" s="1" t="s">
        <v>20</v>
      </c>
      <c r="AI228" s="8" t="s">
        <v>18</v>
      </c>
      <c r="AJ228" s="9" t="s">
        <v>18</v>
      </c>
      <c r="AK228" s="21">
        <v>5</v>
      </c>
      <c r="AL228" s="26">
        <v>5</v>
      </c>
      <c r="AM228" s="8" t="s">
        <v>18</v>
      </c>
      <c r="AN228" s="9" t="s">
        <v>18</v>
      </c>
      <c r="AO228" s="8" t="s">
        <v>18</v>
      </c>
      <c r="AP228" s="26">
        <v>5</v>
      </c>
      <c r="AQ228" s="60">
        <f t="shared" si="51"/>
        <v>5</v>
      </c>
      <c r="AR228" s="44">
        <f>IF($A217=TRUE,AQ228*$I217,0)</f>
        <v>15</v>
      </c>
      <c r="AS228" s="1" t="s">
        <v>20</v>
      </c>
      <c r="AT228" s="8" t="s">
        <v>18</v>
      </c>
      <c r="AU228" s="9" t="s">
        <v>18</v>
      </c>
      <c r="AV228" s="8" t="s">
        <v>18</v>
      </c>
      <c r="AW228" s="9" t="s">
        <v>18</v>
      </c>
      <c r="AX228" s="8" t="s">
        <v>18</v>
      </c>
      <c r="AY228" s="9" t="s">
        <v>18</v>
      </c>
      <c r="AZ228" s="8" t="s">
        <v>18</v>
      </c>
      <c r="BA228" s="9" t="s">
        <v>18</v>
      </c>
      <c r="BB228" s="60">
        <f t="shared" si="52"/>
        <v>0</v>
      </c>
      <c r="BC228" s="44">
        <f>IF($A217=TRUE,BB228*$I217,0)</f>
        <v>0</v>
      </c>
    </row>
    <row r="229" spans="1:55" x14ac:dyDescent="0.3">
      <c r="A229" s="1" t="s">
        <v>3</v>
      </c>
      <c r="B229" s="8" t="s">
        <v>18</v>
      </c>
      <c r="C229" s="9" t="s">
        <v>18</v>
      </c>
      <c r="D229" s="51">
        <v>4</v>
      </c>
      <c r="E229" s="48">
        <v>4</v>
      </c>
      <c r="F229" s="8" t="s">
        <v>18</v>
      </c>
      <c r="G229" s="9" t="s">
        <v>18</v>
      </c>
      <c r="H229" s="8" t="s">
        <v>18</v>
      </c>
      <c r="I229" s="9" t="s">
        <v>18</v>
      </c>
      <c r="J229" s="60">
        <f t="shared" si="40"/>
        <v>4</v>
      </c>
      <c r="K229" s="44">
        <f>IF(A217=TRUE,J229*I217,0)</f>
        <v>12</v>
      </c>
      <c r="L229" s="1" t="s">
        <v>3</v>
      </c>
      <c r="M229" s="8" t="s">
        <v>18</v>
      </c>
      <c r="N229" s="9" t="s">
        <v>18</v>
      </c>
      <c r="O229" s="51">
        <v>4</v>
      </c>
      <c r="P229" s="48">
        <v>4</v>
      </c>
      <c r="Q229" s="8" t="s">
        <v>18</v>
      </c>
      <c r="R229" s="9" t="s">
        <v>18</v>
      </c>
      <c r="S229" s="8" t="s">
        <v>18</v>
      </c>
      <c r="T229" s="9" t="s">
        <v>18</v>
      </c>
      <c r="U229" s="60">
        <f t="shared" si="49"/>
        <v>4</v>
      </c>
      <c r="V229" s="44">
        <f>IF($A217=TRUE,U229*$I217,0)</f>
        <v>12</v>
      </c>
      <c r="W229" s="1" t="s">
        <v>3</v>
      </c>
      <c r="X229" s="8" t="s">
        <v>18</v>
      </c>
      <c r="Y229" s="9" t="s">
        <v>18</v>
      </c>
      <c r="Z229" s="51">
        <v>4</v>
      </c>
      <c r="AA229" s="48">
        <v>4</v>
      </c>
      <c r="AB229" s="8" t="s">
        <v>18</v>
      </c>
      <c r="AC229" s="9" t="s">
        <v>18</v>
      </c>
      <c r="AD229" s="8" t="s">
        <v>18</v>
      </c>
      <c r="AE229" s="9" t="s">
        <v>18</v>
      </c>
      <c r="AF229" s="60">
        <f t="shared" si="50"/>
        <v>4</v>
      </c>
      <c r="AG229" s="44">
        <f>IF($A217=TRUE,AF229*$I217,0)</f>
        <v>12</v>
      </c>
      <c r="AH229" s="1" t="s">
        <v>3</v>
      </c>
      <c r="AI229" s="8" t="s">
        <v>18</v>
      </c>
      <c r="AJ229" s="9" t="s">
        <v>18</v>
      </c>
      <c r="AK229" s="51">
        <v>4</v>
      </c>
      <c r="AL229" s="48">
        <v>4</v>
      </c>
      <c r="AM229" s="8" t="s">
        <v>18</v>
      </c>
      <c r="AN229" s="9" t="s">
        <v>18</v>
      </c>
      <c r="AO229" s="8" t="s">
        <v>18</v>
      </c>
      <c r="AP229" s="9" t="s">
        <v>18</v>
      </c>
      <c r="AQ229" s="60">
        <f t="shared" si="51"/>
        <v>4</v>
      </c>
      <c r="AR229" s="44">
        <f>IF($A217=TRUE,AQ229*$I217,0)</f>
        <v>12</v>
      </c>
      <c r="AS229" s="1" t="s">
        <v>3</v>
      </c>
      <c r="AT229" s="8" t="s">
        <v>18</v>
      </c>
      <c r="AU229" s="9" t="s">
        <v>18</v>
      </c>
      <c r="AV229" s="8" t="s">
        <v>18</v>
      </c>
      <c r="AW229" s="9" t="s">
        <v>18</v>
      </c>
      <c r="AX229" s="8" t="s">
        <v>18</v>
      </c>
      <c r="AY229" s="9" t="s">
        <v>18</v>
      </c>
      <c r="AZ229" s="16">
        <v>4</v>
      </c>
      <c r="BA229" s="41">
        <v>2</v>
      </c>
      <c r="BB229" s="60">
        <f t="shared" si="52"/>
        <v>4</v>
      </c>
      <c r="BC229" s="44">
        <f>IF($A217=TRUE,BB229*$I217,0)</f>
        <v>12</v>
      </c>
    </row>
    <row r="230" spans="1:55" x14ac:dyDescent="0.3">
      <c r="A230" s="13" t="s">
        <v>12</v>
      </c>
      <c r="B230" s="14" t="s">
        <v>18</v>
      </c>
      <c r="C230" s="15" t="s">
        <v>18</v>
      </c>
      <c r="D230" s="49">
        <v>4</v>
      </c>
      <c r="E230" s="50">
        <v>4</v>
      </c>
      <c r="F230" s="14" t="s">
        <v>18</v>
      </c>
      <c r="G230" s="15" t="s">
        <v>18</v>
      </c>
      <c r="H230" s="14" t="s">
        <v>18</v>
      </c>
      <c r="I230" s="15" t="s">
        <v>18</v>
      </c>
      <c r="J230" s="60">
        <f t="shared" si="40"/>
        <v>4</v>
      </c>
      <c r="K230" s="44">
        <f>IF(A217=TRUE,J230*I217,0)</f>
        <v>12</v>
      </c>
      <c r="L230" s="13" t="s">
        <v>12</v>
      </c>
      <c r="M230" s="14" t="s">
        <v>18</v>
      </c>
      <c r="N230" s="15" t="s">
        <v>18</v>
      </c>
      <c r="O230" s="49">
        <v>4</v>
      </c>
      <c r="P230" s="50">
        <v>4</v>
      </c>
      <c r="Q230" s="14" t="s">
        <v>18</v>
      </c>
      <c r="R230" s="15" t="s">
        <v>18</v>
      </c>
      <c r="S230" s="14" t="s">
        <v>18</v>
      </c>
      <c r="T230" s="15" t="s">
        <v>18</v>
      </c>
      <c r="U230" s="60">
        <f t="shared" si="49"/>
        <v>4</v>
      </c>
      <c r="V230" s="44">
        <f>IF($A217=TRUE,U230*$I217,0)</f>
        <v>12</v>
      </c>
      <c r="W230" s="13" t="s">
        <v>12</v>
      </c>
      <c r="X230" s="14" t="s">
        <v>18</v>
      </c>
      <c r="Y230" s="15" t="s">
        <v>18</v>
      </c>
      <c r="Z230" s="49">
        <v>4</v>
      </c>
      <c r="AA230" s="50">
        <v>4</v>
      </c>
      <c r="AB230" s="14" t="s">
        <v>18</v>
      </c>
      <c r="AC230" s="15" t="s">
        <v>18</v>
      </c>
      <c r="AD230" s="14" t="s">
        <v>18</v>
      </c>
      <c r="AE230" s="15" t="s">
        <v>18</v>
      </c>
      <c r="AF230" s="60">
        <f t="shared" si="50"/>
        <v>4</v>
      </c>
      <c r="AG230" s="44">
        <f>IF($A217=TRUE,AF230*$I217,0)</f>
        <v>12</v>
      </c>
      <c r="AH230" s="13" t="s">
        <v>12</v>
      </c>
      <c r="AI230" s="14" t="s">
        <v>18</v>
      </c>
      <c r="AJ230" s="15" t="s">
        <v>18</v>
      </c>
      <c r="AK230" s="49">
        <v>4</v>
      </c>
      <c r="AL230" s="50">
        <v>4</v>
      </c>
      <c r="AM230" s="14" t="s">
        <v>18</v>
      </c>
      <c r="AN230" s="15" t="s">
        <v>18</v>
      </c>
      <c r="AO230" s="14" t="s">
        <v>18</v>
      </c>
      <c r="AP230" s="15" t="s">
        <v>18</v>
      </c>
      <c r="AQ230" s="60">
        <f t="shared" si="51"/>
        <v>4</v>
      </c>
      <c r="AR230" s="44">
        <f>IF($A217=TRUE,AQ230*$I217,0)</f>
        <v>12</v>
      </c>
      <c r="AS230" s="13" t="s">
        <v>12</v>
      </c>
      <c r="AT230" s="14" t="s">
        <v>18</v>
      </c>
      <c r="AU230" s="15" t="s">
        <v>18</v>
      </c>
      <c r="AV230" s="25">
        <v>4</v>
      </c>
      <c r="AW230" s="17">
        <v>4</v>
      </c>
      <c r="AX230" s="14" t="s">
        <v>18</v>
      </c>
      <c r="AY230" s="15" t="s">
        <v>18</v>
      </c>
      <c r="AZ230" s="16">
        <v>4</v>
      </c>
      <c r="BA230" s="41">
        <v>2</v>
      </c>
      <c r="BB230" s="60">
        <f t="shared" si="52"/>
        <v>4</v>
      </c>
      <c r="BC230" s="44">
        <f>IF($A217=TRUE,BB230*$I217,0)</f>
        <v>12</v>
      </c>
    </row>
    <row r="231" spans="1:55" x14ac:dyDescent="0.3">
      <c r="J231" s="60"/>
    </row>
    <row r="232" spans="1:55" x14ac:dyDescent="0.3">
      <c r="A232" s="4" t="s">
        <v>19</v>
      </c>
      <c r="B232" s="2"/>
      <c r="C232" s="2"/>
      <c r="D232" s="2"/>
      <c r="E232" s="2"/>
      <c r="F232" s="2"/>
      <c r="G232" s="2"/>
      <c r="H232" s="2"/>
      <c r="I232" s="2" t="s">
        <v>26</v>
      </c>
      <c r="J232" s="60"/>
    </row>
    <row r="233" spans="1:55" x14ac:dyDescent="0.3">
      <c r="A233" s="2" t="b">
        <v>1</v>
      </c>
      <c r="B233" s="2"/>
      <c r="C233" s="2"/>
      <c r="D233" s="2"/>
      <c r="E233" s="2"/>
      <c r="F233" s="2"/>
      <c r="G233" s="2"/>
      <c r="H233" s="2"/>
      <c r="I233" s="2">
        <f>F36</f>
        <v>0</v>
      </c>
      <c r="J233" s="60"/>
    </row>
    <row r="234" spans="1:55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60"/>
    </row>
    <row r="235" spans="1:55" x14ac:dyDescent="0.3">
      <c r="A235" s="10" t="s">
        <v>14</v>
      </c>
      <c r="B235" s="85" t="s">
        <v>7</v>
      </c>
      <c r="C235" s="86"/>
      <c r="D235" s="85" t="s">
        <v>10</v>
      </c>
      <c r="E235" s="86"/>
      <c r="F235" s="87" t="s">
        <v>11</v>
      </c>
      <c r="G235" s="86"/>
      <c r="H235" s="85" t="s">
        <v>13</v>
      </c>
      <c r="I235" s="86"/>
      <c r="J235" s="60"/>
      <c r="L235" s="10" t="s">
        <v>14</v>
      </c>
      <c r="M235" s="85" t="s">
        <v>7</v>
      </c>
      <c r="N235" s="86"/>
      <c r="O235" s="85" t="s">
        <v>10</v>
      </c>
      <c r="P235" s="86"/>
      <c r="Q235" s="87" t="s">
        <v>11</v>
      </c>
      <c r="R235" s="86"/>
      <c r="S235" s="85" t="s">
        <v>13</v>
      </c>
      <c r="T235" s="86"/>
      <c r="W235" s="10" t="s">
        <v>14</v>
      </c>
      <c r="X235" s="85" t="s">
        <v>7</v>
      </c>
      <c r="Y235" s="86"/>
      <c r="Z235" s="85" t="s">
        <v>10</v>
      </c>
      <c r="AA235" s="86"/>
      <c r="AB235" s="87" t="s">
        <v>11</v>
      </c>
      <c r="AC235" s="86"/>
      <c r="AD235" s="85" t="s">
        <v>13</v>
      </c>
      <c r="AE235" s="86"/>
      <c r="AH235" s="10" t="s">
        <v>14</v>
      </c>
      <c r="AI235" s="85" t="s">
        <v>7</v>
      </c>
      <c r="AJ235" s="86"/>
      <c r="AK235" s="85" t="s">
        <v>10</v>
      </c>
      <c r="AL235" s="86"/>
      <c r="AM235" s="87" t="s">
        <v>11</v>
      </c>
      <c r="AN235" s="86"/>
      <c r="AO235" s="85" t="s">
        <v>13</v>
      </c>
      <c r="AP235" s="86"/>
      <c r="AS235" s="10" t="s">
        <v>14</v>
      </c>
      <c r="AT235" s="85" t="s">
        <v>7</v>
      </c>
      <c r="AU235" s="86"/>
      <c r="AV235" s="85" t="s">
        <v>10</v>
      </c>
      <c r="AW235" s="86"/>
      <c r="AX235" s="87" t="s">
        <v>11</v>
      </c>
      <c r="AY235" s="86"/>
      <c r="AZ235" s="85" t="s">
        <v>13</v>
      </c>
      <c r="BA235" s="86"/>
    </row>
    <row r="236" spans="1:55" ht="15" thickBot="1" x14ac:dyDescent="0.35">
      <c r="A236" s="11" t="s">
        <v>0</v>
      </c>
      <c r="B236" s="5" t="s">
        <v>8</v>
      </c>
      <c r="C236" s="6" t="s">
        <v>9</v>
      </c>
      <c r="D236" s="7" t="s">
        <v>8</v>
      </c>
      <c r="E236" s="6" t="s">
        <v>9</v>
      </c>
      <c r="F236" s="7" t="s">
        <v>8</v>
      </c>
      <c r="G236" s="6" t="s">
        <v>9</v>
      </c>
      <c r="H236" s="7" t="s">
        <v>8</v>
      </c>
      <c r="I236" s="6" t="s">
        <v>9</v>
      </c>
      <c r="J236" s="60"/>
      <c r="L236" s="11" t="s">
        <v>0</v>
      </c>
      <c r="M236" s="5" t="s">
        <v>8</v>
      </c>
      <c r="N236" s="6" t="s">
        <v>9</v>
      </c>
      <c r="O236" s="7" t="s">
        <v>8</v>
      </c>
      <c r="P236" s="6" t="s">
        <v>9</v>
      </c>
      <c r="Q236" s="7" t="s">
        <v>8</v>
      </c>
      <c r="R236" s="6" t="s">
        <v>9</v>
      </c>
      <c r="S236" s="7" t="s">
        <v>8</v>
      </c>
      <c r="T236" s="6" t="s">
        <v>9</v>
      </c>
      <c r="W236" s="11" t="s">
        <v>0</v>
      </c>
      <c r="X236" s="5" t="s">
        <v>8</v>
      </c>
      <c r="Y236" s="6" t="s">
        <v>9</v>
      </c>
      <c r="Z236" s="7" t="s">
        <v>8</v>
      </c>
      <c r="AA236" s="6" t="s">
        <v>9</v>
      </c>
      <c r="AB236" s="7" t="s">
        <v>8</v>
      </c>
      <c r="AC236" s="6" t="s">
        <v>9</v>
      </c>
      <c r="AD236" s="7" t="s">
        <v>8</v>
      </c>
      <c r="AE236" s="6" t="s">
        <v>9</v>
      </c>
      <c r="AH236" s="11" t="s">
        <v>0</v>
      </c>
      <c r="AI236" s="5" t="s">
        <v>8</v>
      </c>
      <c r="AJ236" s="6" t="s">
        <v>9</v>
      </c>
      <c r="AK236" s="7" t="s">
        <v>8</v>
      </c>
      <c r="AL236" s="6" t="s">
        <v>9</v>
      </c>
      <c r="AM236" s="7" t="s">
        <v>8</v>
      </c>
      <c r="AN236" s="6" t="s">
        <v>9</v>
      </c>
      <c r="AO236" s="7" t="s">
        <v>8</v>
      </c>
      <c r="AP236" s="6" t="s">
        <v>9</v>
      </c>
      <c r="AS236" s="11" t="s">
        <v>0</v>
      </c>
      <c r="AT236" s="5" t="s">
        <v>8</v>
      </c>
      <c r="AU236" s="6" t="s">
        <v>9</v>
      </c>
      <c r="AV236" s="7" t="s">
        <v>8</v>
      </c>
      <c r="AW236" s="6" t="s">
        <v>9</v>
      </c>
      <c r="AX236" s="7" t="s">
        <v>8</v>
      </c>
      <c r="AY236" s="6" t="s">
        <v>9</v>
      </c>
      <c r="AZ236" s="7" t="s">
        <v>8</v>
      </c>
      <c r="BA236" s="6" t="s">
        <v>9</v>
      </c>
    </row>
    <row r="237" spans="1:55" ht="15" thickTop="1" x14ac:dyDescent="0.3">
      <c r="A237" s="1" t="s">
        <v>4</v>
      </c>
      <c r="B237" s="24">
        <v>1</v>
      </c>
      <c r="C237" s="22">
        <v>1</v>
      </c>
      <c r="D237" s="24">
        <v>1</v>
      </c>
      <c r="E237" s="22">
        <v>1</v>
      </c>
      <c r="F237" s="24">
        <v>1</v>
      </c>
      <c r="G237" s="22">
        <v>1</v>
      </c>
      <c r="H237" s="8" t="s">
        <v>18</v>
      </c>
      <c r="I237" s="9" t="s">
        <v>18</v>
      </c>
      <c r="J237" s="60">
        <f t="shared" si="40"/>
        <v>1</v>
      </c>
      <c r="K237" s="44">
        <f>IF(A233=TRUE,J237*I233,0)</f>
        <v>0</v>
      </c>
      <c r="L237" s="1" t="s">
        <v>4</v>
      </c>
      <c r="M237" s="24">
        <v>1</v>
      </c>
      <c r="N237" s="22">
        <v>1</v>
      </c>
      <c r="O237" s="24">
        <v>1</v>
      </c>
      <c r="P237" s="22">
        <v>1</v>
      </c>
      <c r="Q237" s="24">
        <v>1</v>
      </c>
      <c r="R237" s="22">
        <v>1</v>
      </c>
      <c r="S237" s="8" t="s">
        <v>18</v>
      </c>
      <c r="T237" s="9" t="s">
        <v>18</v>
      </c>
      <c r="U237" s="60">
        <f>MAX(M237:T237)</f>
        <v>1</v>
      </c>
      <c r="V237" s="44">
        <f>IF($A233=TRUE,U237*$I233,0)</f>
        <v>0</v>
      </c>
      <c r="W237" s="1" t="s">
        <v>4</v>
      </c>
      <c r="X237" s="24">
        <v>1</v>
      </c>
      <c r="Y237" s="22">
        <v>1</v>
      </c>
      <c r="Z237" s="24">
        <v>1</v>
      </c>
      <c r="AA237" s="22">
        <v>1</v>
      </c>
      <c r="AB237" s="24">
        <v>1</v>
      </c>
      <c r="AC237" s="22">
        <v>1</v>
      </c>
      <c r="AD237" s="8" t="s">
        <v>18</v>
      </c>
      <c r="AE237" s="9" t="s">
        <v>18</v>
      </c>
      <c r="AF237" s="60">
        <f>MAX(X237:AE237)</f>
        <v>1</v>
      </c>
      <c r="AG237" s="44">
        <f>IF($A233=TRUE,AF237*$I233,0)</f>
        <v>0</v>
      </c>
      <c r="AH237" s="1" t="s">
        <v>4</v>
      </c>
      <c r="AI237" s="24">
        <v>1</v>
      </c>
      <c r="AJ237" s="22">
        <v>1</v>
      </c>
      <c r="AK237" s="24">
        <v>1</v>
      </c>
      <c r="AL237" s="22">
        <v>1</v>
      </c>
      <c r="AM237" s="24">
        <v>1</v>
      </c>
      <c r="AN237" s="22">
        <v>1</v>
      </c>
      <c r="AO237" s="8" t="s">
        <v>18</v>
      </c>
      <c r="AP237" s="9" t="s">
        <v>18</v>
      </c>
      <c r="AQ237" s="60">
        <f>MAX(AI237:AP237)</f>
        <v>1</v>
      </c>
      <c r="AR237" s="44">
        <f>IF($A233=TRUE,AQ237*$I233,0)</f>
        <v>0</v>
      </c>
      <c r="AS237" s="1" t="s">
        <v>4</v>
      </c>
      <c r="AT237" s="8" t="s">
        <v>18</v>
      </c>
      <c r="AU237" s="9" t="s">
        <v>18</v>
      </c>
      <c r="AV237" s="8" t="s">
        <v>18</v>
      </c>
      <c r="AW237" s="9" t="s">
        <v>18</v>
      </c>
      <c r="AX237" s="8" t="s">
        <v>18</v>
      </c>
      <c r="AY237" s="9" t="s">
        <v>18</v>
      </c>
      <c r="AZ237" s="8" t="s">
        <v>18</v>
      </c>
      <c r="BA237" s="9" t="s">
        <v>18</v>
      </c>
      <c r="BB237" s="60">
        <f>MAX(AT237:BA237)</f>
        <v>0</v>
      </c>
      <c r="BC237" s="44">
        <f>IF($A233=TRUE,BB237*$I233,0)</f>
        <v>0</v>
      </c>
    </row>
    <row r="238" spans="1:55" x14ac:dyDescent="0.3">
      <c r="A238" s="1" t="s">
        <v>5</v>
      </c>
      <c r="B238" s="54">
        <v>1</v>
      </c>
      <c r="C238" s="22">
        <v>1</v>
      </c>
      <c r="D238" s="8" t="s">
        <v>18</v>
      </c>
      <c r="E238" s="9" t="s">
        <v>18</v>
      </c>
      <c r="F238" s="54">
        <v>1</v>
      </c>
      <c r="G238" s="22">
        <v>1</v>
      </c>
      <c r="H238" s="8" t="s">
        <v>18</v>
      </c>
      <c r="I238" s="9" t="s">
        <v>18</v>
      </c>
      <c r="J238" s="60">
        <f t="shared" si="40"/>
        <v>1</v>
      </c>
      <c r="K238" s="44">
        <f>IF(A233=TRUE,J238*I233,0)</f>
        <v>0</v>
      </c>
      <c r="L238" s="1" t="s">
        <v>5</v>
      </c>
      <c r="M238" s="54">
        <v>1</v>
      </c>
      <c r="N238" s="22">
        <v>1</v>
      </c>
      <c r="O238" s="8" t="s">
        <v>18</v>
      </c>
      <c r="P238" s="9" t="s">
        <v>18</v>
      </c>
      <c r="Q238" s="54">
        <v>1</v>
      </c>
      <c r="R238" s="22">
        <v>1</v>
      </c>
      <c r="S238" s="8" t="s">
        <v>18</v>
      </c>
      <c r="T238" s="9" t="s">
        <v>18</v>
      </c>
      <c r="U238" s="60">
        <f t="shared" ref="U238:U246" si="53">MAX(M238:T238)</f>
        <v>1</v>
      </c>
      <c r="V238" s="44">
        <f>IF($A233=TRUE,U238*$I233,0)</f>
        <v>0</v>
      </c>
      <c r="W238" s="1" t="s">
        <v>5</v>
      </c>
      <c r="X238" s="54">
        <v>1</v>
      </c>
      <c r="Y238" s="22">
        <v>1</v>
      </c>
      <c r="Z238" s="8" t="s">
        <v>18</v>
      </c>
      <c r="AA238" s="9" t="s">
        <v>18</v>
      </c>
      <c r="AB238" s="54">
        <v>1</v>
      </c>
      <c r="AC238" s="22">
        <v>1</v>
      </c>
      <c r="AD238" s="8" t="s">
        <v>18</v>
      </c>
      <c r="AE238" s="9" t="s">
        <v>18</v>
      </c>
      <c r="AF238" s="60">
        <f t="shared" ref="AF238:AF246" si="54">MAX(X238:AE238)</f>
        <v>1</v>
      </c>
      <c r="AG238" s="44">
        <f>IF($A233=TRUE,AF238*$I233,0)</f>
        <v>0</v>
      </c>
      <c r="AH238" s="1" t="s">
        <v>5</v>
      </c>
      <c r="AI238" s="54">
        <v>1</v>
      </c>
      <c r="AJ238" s="22">
        <v>1</v>
      </c>
      <c r="AK238" s="8" t="s">
        <v>18</v>
      </c>
      <c r="AL238" s="9" t="s">
        <v>18</v>
      </c>
      <c r="AM238" s="54">
        <v>1</v>
      </c>
      <c r="AN238" s="22">
        <v>1</v>
      </c>
      <c r="AO238" s="8" t="s">
        <v>18</v>
      </c>
      <c r="AP238" s="9" t="s">
        <v>18</v>
      </c>
      <c r="AQ238" s="60">
        <f t="shared" ref="AQ238:AQ246" si="55">MAX(AI238:AP238)</f>
        <v>1</v>
      </c>
      <c r="AR238" s="44">
        <f>IF($A233=TRUE,AQ238*$I233,0)</f>
        <v>0</v>
      </c>
      <c r="AS238" s="1" t="s">
        <v>5</v>
      </c>
      <c r="AT238" s="8" t="s">
        <v>18</v>
      </c>
      <c r="AU238" s="9" t="s">
        <v>18</v>
      </c>
      <c r="AV238" s="8" t="s">
        <v>18</v>
      </c>
      <c r="AW238" s="9" t="s">
        <v>18</v>
      </c>
      <c r="AX238" s="8" t="s">
        <v>18</v>
      </c>
      <c r="AY238" s="9" t="s">
        <v>18</v>
      </c>
      <c r="AZ238" s="8" t="s">
        <v>18</v>
      </c>
      <c r="BA238" s="9" t="s">
        <v>18</v>
      </c>
      <c r="BB238" s="60">
        <f t="shared" ref="BB238:BB246" si="56">MAX(AT238:BA238)</f>
        <v>0</v>
      </c>
      <c r="BC238" s="44">
        <f>IF($A233=TRUE,BB238*$I233,0)</f>
        <v>0</v>
      </c>
    </row>
    <row r="239" spans="1:55" x14ac:dyDescent="0.3">
      <c r="A239" s="1" t="s">
        <v>6</v>
      </c>
      <c r="B239" s="54">
        <v>1</v>
      </c>
      <c r="C239" s="22">
        <v>1</v>
      </c>
      <c r="D239" s="8" t="s">
        <v>18</v>
      </c>
      <c r="E239" s="9" t="s">
        <v>18</v>
      </c>
      <c r="F239" s="54">
        <v>1</v>
      </c>
      <c r="G239" s="22">
        <v>1</v>
      </c>
      <c r="H239" s="8" t="s">
        <v>18</v>
      </c>
      <c r="I239" s="9" t="s">
        <v>18</v>
      </c>
      <c r="J239" s="60">
        <f t="shared" si="40"/>
        <v>1</v>
      </c>
      <c r="K239" s="44">
        <f>IF(A233=TRUE,J239*I233,0)</f>
        <v>0</v>
      </c>
      <c r="L239" s="1" t="s">
        <v>6</v>
      </c>
      <c r="M239" s="54">
        <v>1</v>
      </c>
      <c r="N239" s="22">
        <v>1</v>
      </c>
      <c r="O239" s="8" t="s">
        <v>18</v>
      </c>
      <c r="P239" s="9" t="s">
        <v>18</v>
      </c>
      <c r="Q239" s="54">
        <v>1</v>
      </c>
      <c r="R239" s="22">
        <v>1</v>
      </c>
      <c r="S239" s="8" t="s">
        <v>18</v>
      </c>
      <c r="T239" s="9" t="s">
        <v>18</v>
      </c>
      <c r="U239" s="60">
        <f t="shared" si="53"/>
        <v>1</v>
      </c>
      <c r="V239" s="44">
        <f>IF($A233=TRUE,U239*$I233,0)</f>
        <v>0</v>
      </c>
      <c r="W239" s="1" t="s">
        <v>6</v>
      </c>
      <c r="X239" s="54">
        <v>1</v>
      </c>
      <c r="Y239" s="22">
        <v>1</v>
      </c>
      <c r="Z239" s="8" t="s">
        <v>18</v>
      </c>
      <c r="AA239" s="9" t="s">
        <v>18</v>
      </c>
      <c r="AB239" s="54">
        <v>1</v>
      </c>
      <c r="AC239" s="22">
        <v>1</v>
      </c>
      <c r="AD239" s="8" t="s">
        <v>18</v>
      </c>
      <c r="AE239" s="9" t="s">
        <v>18</v>
      </c>
      <c r="AF239" s="60">
        <f t="shared" si="54"/>
        <v>1</v>
      </c>
      <c r="AG239" s="44">
        <f>IF($A233=TRUE,AF239*$I233,0)</f>
        <v>0</v>
      </c>
      <c r="AH239" s="1" t="s">
        <v>6</v>
      </c>
      <c r="AI239" s="54">
        <v>1</v>
      </c>
      <c r="AJ239" s="22">
        <v>1</v>
      </c>
      <c r="AK239" s="8" t="s">
        <v>18</v>
      </c>
      <c r="AL239" s="9" t="s">
        <v>18</v>
      </c>
      <c r="AM239" s="54">
        <v>1</v>
      </c>
      <c r="AN239" s="22">
        <v>1</v>
      </c>
      <c r="AO239" s="8" t="s">
        <v>18</v>
      </c>
      <c r="AP239" s="9" t="s">
        <v>18</v>
      </c>
      <c r="AQ239" s="60">
        <f t="shared" si="55"/>
        <v>1</v>
      </c>
      <c r="AR239" s="44">
        <f>IF($A233=TRUE,AQ239*$I233,0)</f>
        <v>0</v>
      </c>
      <c r="AS239" s="1" t="s">
        <v>6</v>
      </c>
      <c r="AT239" s="8" t="s">
        <v>18</v>
      </c>
      <c r="AU239" s="9" t="s">
        <v>18</v>
      </c>
      <c r="AV239" s="8" t="s">
        <v>18</v>
      </c>
      <c r="AW239" s="9" t="s">
        <v>18</v>
      </c>
      <c r="AX239" s="8" t="s">
        <v>18</v>
      </c>
      <c r="AY239" s="9" t="s">
        <v>18</v>
      </c>
      <c r="AZ239" s="8" t="s">
        <v>18</v>
      </c>
      <c r="BA239" s="9" t="s">
        <v>18</v>
      </c>
      <c r="BB239" s="60">
        <f t="shared" si="56"/>
        <v>0</v>
      </c>
      <c r="BC239" s="44">
        <f>IF($A233=TRUE,BB239*$I233,0)</f>
        <v>0</v>
      </c>
    </row>
    <row r="240" spans="1:55" x14ac:dyDescent="0.3">
      <c r="A240" s="1" t="s">
        <v>1</v>
      </c>
      <c r="B240" s="8" t="s">
        <v>18</v>
      </c>
      <c r="C240" s="9" t="s">
        <v>18</v>
      </c>
      <c r="D240" s="8" t="s">
        <v>18</v>
      </c>
      <c r="E240" s="9" t="s">
        <v>18</v>
      </c>
      <c r="F240" s="8" t="s">
        <v>18</v>
      </c>
      <c r="G240" s="9" t="s">
        <v>18</v>
      </c>
      <c r="H240" s="18">
        <v>3</v>
      </c>
      <c r="I240" s="19">
        <v>3</v>
      </c>
      <c r="J240" s="60">
        <f t="shared" si="40"/>
        <v>3</v>
      </c>
      <c r="K240" s="44">
        <f>IF(A233=TRUE,J240*I233,0)</f>
        <v>0</v>
      </c>
      <c r="L240" s="1" t="s">
        <v>1</v>
      </c>
      <c r="M240" s="8" t="s">
        <v>18</v>
      </c>
      <c r="N240" s="9" t="s">
        <v>18</v>
      </c>
      <c r="O240" s="8" t="s">
        <v>18</v>
      </c>
      <c r="P240" s="9" t="s">
        <v>18</v>
      </c>
      <c r="Q240" s="8" t="s">
        <v>18</v>
      </c>
      <c r="R240" s="9" t="s">
        <v>18</v>
      </c>
      <c r="S240" s="18">
        <v>3</v>
      </c>
      <c r="T240" s="19">
        <v>3</v>
      </c>
      <c r="U240" s="60">
        <f t="shared" si="53"/>
        <v>3</v>
      </c>
      <c r="V240" s="44">
        <f>IF($A233=TRUE,U240*$I233,0)</f>
        <v>0</v>
      </c>
      <c r="W240" s="1" t="s">
        <v>1</v>
      </c>
      <c r="X240" s="8" t="s">
        <v>18</v>
      </c>
      <c r="Y240" s="9" t="s">
        <v>18</v>
      </c>
      <c r="Z240" s="8" t="s">
        <v>18</v>
      </c>
      <c r="AA240" s="9" t="s">
        <v>18</v>
      </c>
      <c r="AB240" s="8" t="s">
        <v>18</v>
      </c>
      <c r="AC240" s="9" t="s">
        <v>18</v>
      </c>
      <c r="AD240" s="18">
        <v>3</v>
      </c>
      <c r="AE240" s="19">
        <v>3</v>
      </c>
      <c r="AF240" s="60">
        <f t="shared" si="54"/>
        <v>3</v>
      </c>
      <c r="AG240" s="44">
        <f>IF($A233=TRUE,AF240*$I233,0)</f>
        <v>0</v>
      </c>
      <c r="AH240" s="1" t="s">
        <v>1</v>
      </c>
      <c r="AI240" s="8" t="s">
        <v>18</v>
      </c>
      <c r="AJ240" s="9" t="s">
        <v>18</v>
      </c>
      <c r="AK240" s="8" t="s">
        <v>18</v>
      </c>
      <c r="AL240" s="9" t="s">
        <v>18</v>
      </c>
      <c r="AM240" s="8" t="s">
        <v>18</v>
      </c>
      <c r="AN240" s="9" t="s">
        <v>18</v>
      </c>
      <c r="AO240" s="21">
        <v>5</v>
      </c>
      <c r="AP240" s="26">
        <v>5</v>
      </c>
      <c r="AQ240" s="60">
        <f t="shared" si="55"/>
        <v>5</v>
      </c>
      <c r="AR240" s="44">
        <f>IF($A233=TRUE,AQ240*$I233,0)</f>
        <v>0</v>
      </c>
      <c r="AS240" s="1" t="s">
        <v>1</v>
      </c>
      <c r="AT240" s="8" t="s">
        <v>18</v>
      </c>
      <c r="AU240" s="9" t="s">
        <v>18</v>
      </c>
      <c r="AV240" s="8" t="s">
        <v>18</v>
      </c>
      <c r="AW240" s="9" t="s">
        <v>18</v>
      </c>
      <c r="AX240" s="8" t="s">
        <v>18</v>
      </c>
      <c r="AY240" s="9" t="s">
        <v>18</v>
      </c>
      <c r="AZ240" s="8" t="s">
        <v>18</v>
      </c>
      <c r="BA240" s="9" t="s">
        <v>18</v>
      </c>
      <c r="BB240" s="60">
        <f t="shared" si="56"/>
        <v>0</v>
      </c>
      <c r="BC240" s="44">
        <f>IF($A233=TRUE,BB240*$I233,0)</f>
        <v>0</v>
      </c>
    </row>
    <row r="241" spans="1:55" x14ac:dyDescent="0.3">
      <c r="A241" s="1" t="s">
        <v>16</v>
      </c>
      <c r="B241" s="8" t="s">
        <v>18</v>
      </c>
      <c r="C241" s="9" t="s">
        <v>18</v>
      </c>
      <c r="D241" s="8" t="s">
        <v>18</v>
      </c>
      <c r="E241" s="9" t="s">
        <v>18</v>
      </c>
      <c r="F241" s="8" t="s">
        <v>18</v>
      </c>
      <c r="G241" s="26">
        <v>5</v>
      </c>
      <c r="H241" s="8" t="s">
        <v>18</v>
      </c>
      <c r="I241" s="26">
        <v>5</v>
      </c>
      <c r="J241" s="60">
        <f t="shared" si="40"/>
        <v>5</v>
      </c>
      <c r="K241" s="44">
        <f>IF(A233=TRUE,J241*I233,0)</f>
        <v>0</v>
      </c>
      <c r="L241" s="1" t="s">
        <v>16</v>
      </c>
      <c r="M241" s="8" t="s">
        <v>18</v>
      </c>
      <c r="N241" s="9" t="s">
        <v>18</v>
      </c>
      <c r="O241" s="8" t="s">
        <v>18</v>
      </c>
      <c r="P241" s="9" t="s">
        <v>18</v>
      </c>
      <c r="Q241" s="8" t="s">
        <v>18</v>
      </c>
      <c r="R241" s="26">
        <v>5</v>
      </c>
      <c r="S241" s="8" t="s">
        <v>18</v>
      </c>
      <c r="T241" s="26">
        <v>5</v>
      </c>
      <c r="U241" s="60">
        <f t="shared" si="53"/>
        <v>5</v>
      </c>
      <c r="V241" s="44">
        <f>IF($A233=TRUE,U241*$I233,0)</f>
        <v>0</v>
      </c>
      <c r="W241" s="1" t="s">
        <v>16</v>
      </c>
      <c r="X241" s="8" t="s">
        <v>18</v>
      </c>
      <c r="Y241" s="9" t="s">
        <v>18</v>
      </c>
      <c r="Z241" s="8" t="s">
        <v>18</v>
      </c>
      <c r="AA241" s="9" t="s">
        <v>18</v>
      </c>
      <c r="AB241" s="8" t="s">
        <v>18</v>
      </c>
      <c r="AC241" s="26">
        <v>5</v>
      </c>
      <c r="AD241" s="8" t="s">
        <v>18</v>
      </c>
      <c r="AE241" s="26">
        <v>5</v>
      </c>
      <c r="AF241" s="60">
        <f t="shared" si="54"/>
        <v>5</v>
      </c>
      <c r="AG241" s="44">
        <f>IF($A233=TRUE,AF241*$I233,0)</f>
        <v>0</v>
      </c>
      <c r="AH241" s="1" t="s">
        <v>16</v>
      </c>
      <c r="AI241" s="8" t="s">
        <v>18</v>
      </c>
      <c r="AJ241" s="9" t="s">
        <v>18</v>
      </c>
      <c r="AK241" s="8" t="s">
        <v>18</v>
      </c>
      <c r="AL241" s="9" t="s">
        <v>18</v>
      </c>
      <c r="AM241" s="8" t="s">
        <v>18</v>
      </c>
      <c r="AN241" s="26">
        <v>5</v>
      </c>
      <c r="AO241" s="8" t="s">
        <v>18</v>
      </c>
      <c r="AP241" s="26">
        <v>5</v>
      </c>
      <c r="AQ241" s="60">
        <f t="shared" si="55"/>
        <v>5</v>
      </c>
      <c r="AR241" s="44">
        <f>IF($A233=TRUE,AQ241*$I233,0)</f>
        <v>0</v>
      </c>
      <c r="AS241" s="1" t="s">
        <v>16</v>
      </c>
      <c r="AT241" s="8" t="s">
        <v>18</v>
      </c>
      <c r="AU241" s="9" t="s">
        <v>18</v>
      </c>
      <c r="AV241" s="8" t="s">
        <v>18</v>
      </c>
      <c r="AW241" s="9" t="s">
        <v>18</v>
      </c>
      <c r="AX241" s="8" t="s">
        <v>18</v>
      </c>
      <c r="AY241" s="9" t="s">
        <v>18</v>
      </c>
      <c r="AZ241" s="8" t="s">
        <v>18</v>
      </c>
      <c r="BA241" s="9" t="s">
        <v>18</v>
      </c>
      <c r="BB241" s="60">
        <f t="shared" si="56"/>
        <v>0</v>
      </c>
      <c r="BC241" s="44">
        <f>IF($A233=TRUE,BB241*$I233,0)</f>
        <v>0</v>
      </c>
    </row>
    <row r="242" spans="1:55" x14ac:dyDescent="0.3">
      <c r="A242" s="1" t="s">
        <v>17</v>
      </c>
      <c r="B242" s="8" t="s">
        <v>18</v>
      </c>
      <c r="C242" s="9" t="s">
        <v>18</v>
      </c>
      <c r="D242" s="25">
        <v>4</v>
      </c>
      <c r="E242" s="17">
        <v>4</v>
      </c>
      <c r="F242" s="8" t="s">
        <v>18</v>
      </c>
      <c r="G242" s="9" t="s">
        <v>18</v>
      </c>
      <c r="H242" s="21">
        <v>5</v>
      </c>
      <c r="I242" s="26">
        <v>5</v>
      </c>
      <c r="J242" s="60">
        <f t="shared" si="40"/>
        <v>5</v>
      </c>
      <c r="K242" s="44">
        <f>IF(A233=TRUE,J242*I233,0)</f>
        <v>0</v>
      </c>
      <c r="L242" s="1" t="s">
        <v>17</v>
      </c>
      <c r="M242" s="8" t="s">
        <v>18</v>
      </c>
      <c r="N242" s="9" t="s">
        <v>18</v>
      </c>
      <c r="O242" s="25">
        <v>4</v>
      </c>
      <c r="P242" s="17">
        <v>4</v>
      </c>
      <c r="Q242" s="8" t="s">
        <v>18</v>
      </c>
      <c r="R242" s="9" t="s">
        <v>18</v>
      </c>
      <c r="S242" s="21">
        <v>5</v>
      </c>
      <c r="T242" s="26">
        <v>5</v>
      </c>
      <c r="U242" s="60">
        <f t="shared" si="53"/>
        <v>5</v>
      </c>
      <c r="V242" s="44">
        <f>IF($A233=TRUE,U242*$I233,0)</f>
        <v>0</v>
      </c>
      <c r="W242" s="1" t="s">
        <v>17</v>
      </c>
      <c r="X242" s="8" t="s">
        <v>18</v>
      </c>
      <c r="Y242" s="9" t="s">
        <v>18</v>
      </c>
      <c r="Z242" s="25">
        <v>4</v>
      </c>
      <c r="AA242" s="17">
        <v>4</v>
      </c>
      <c r="AB242" s="8" t="s">
        <v>18</v>
      </c>
      <c r="AC242" s="9" t="s">
        <v>18</v>
      </c>
      <c r="AD242" s="21">
        <v>5</v>
      </c>
      <c r="AE242" s="26">
        <v>5</v>
      </c>
      <c r="AF242" s="60">
        <f t="shared" si="54"/>
        <v>5</v>
      </c>
      <c r="AG242" s="44">
        <f>IF($A233=TRUE,AF242*$I233,0)</f>
        <v>0</v>
      </c>
      <c r="AH242" s="1" t="s">
        <v>17</v>
      </c>
      <c r="AI242" s="8" t="s">
        <v>18</v>
      </c>
      <c r="AJ242" s="9" t="s">
        <v>18</v>
      </c>
      <c r="AK242" s="25">
        <v>4</v>
      </c>
      <c r="AL242" s="17">
        <v>4</v>
      </c>
      <c r="AM242" s="8" t="s">
        <v>18</v>
      </c>
      <c r="AN242" s="9" t="s">
        <v>18</v>
      </c>
      <c r="AO242" s="21">
        <v>5</v>
      </c>
      <c r="AP242" s="26">
        <v>5</v>
      </c>
      <c r="AQ242" s="60">
        <f t="shared" si="55"/>
        <v>5</v>
      </c>
      <c r="AR242" s="44">
        <f>IF($A233=TRUE,AQ242*$I233,0)</f>
        <v>0</v>
      </c>
      <c r="AS242" s="1" t="s">
        <v>17</v>
      </c>
      <c r="AT242" s="8" t="s">
        <v>18</v>
      </c>
      <c r="AU242" s="9" t="s">
        <v>18</v>
      </c>
      <c r="AV242" s="25">
        <v>4</v>
      </c>
      <c r="AW242" s="17">
        <v>4</v>
      </c>
      <c r="AX242" s="8" t="s">
        <v>18</v>
      </c>
      <c r="AY242" s="9" t="s">
        <v>18</v>
      </c>
      <c r="AZ242" s="16">
        <v>4</v>
      </c>
      <c r="BA242" s="17">
        <v>4</v>
      </c>
      <c r="BB242" s="60">
        <f t="shared" si="56"/>
        <v>4</v>
      </c>
      <c r="BC242" s="44">
        <f>IF($A233=TRUE,BB242*$I233,0)</f>
        <v>0</v>
      </c>
    </row>
    <row r="243" spans="1:55" x14ac:dyDescent="0.3">
      <c r="A243" s="1" t="s">
        <v>2</v>
      </c>
      <c r="B243" s="18">
        <v>3</v>
      </c>
      <c r="C243" s="19">
        <v>3</v>
      </c>
      <c r="D243" s="8" t="s">
        <v>18</v>
      </c>
      <c r="E243" s="9" t="s">
        <v>18</v>
      </c>
      <c r="F243" s="18">
        <v>3</v>
      </c>
      <c r="G243" s="19">
        <v>3</v>
      </c>
      <c r="H243" s="8" t="s">
        <v>18</v>
      </c>
      <c r="I243" s="9" t="s">
        <v>18</v>
      </c>
      <c r="J243" s="60">
        <f t="shared" si="40"/>
        <v>3</v>
      </c>
      <c r="K243" s="44">
        <f>IF(A233=TRUE,J243*I233,0)</f>
        <v>0</v>
      </c>
      <c r="L243" s="1" t="s">
        <v>2</v>
      </c>
      <c r="M243" s="18">
        <v>3</v>
      </c>
      <c r="N243" s="19">
        <v>3</v>
      </c>
      <c r="O243" s="8" t="s">
        <v>18</v>
      </c>
      <c r="P243" s="9" t="s">
        <v>18</v>
      </c>
      <c r="Q243" s="18">
        <v>3</v>
      </c>
      <c r="R243" s="19">
        <v>3</v>
      </c>
      <c r="S243" s="8" t="s">
        <v>18</v>
      </c>
      <c r="T243" s="9" t="s">
        <v>18</v>
      </c>
      <c r="U243" s="60">
        <f t="shared" si="53"/>
        <v>3</v>
      </c>
      <c r="V243" s="44">
        <f>IF($A233=TRUE,U243*$I233,0)</f>
        <v>0</v>
      </c>
      <c r="W243" s="1" t="s">
        <v>2</v>
      </c>
      <c r="X243" s="18">
        <v>3</v>
      </c>
      <c r="Y243" s="19">
        <v>3</v>
      </c>
      <c r="Z243" s="8" t="s">
        <v>18</v>
      </c>
      <c r="AA243" s="9" t="s">
        <v>18</v>
      </c>
      <c r="AB243" s="18">
        <v>3</v>
      </c>
      <c r="AC243" s="19">
        <v>3</v>
      </c>
      <c r="AD243" s="8" t="s">
        <v>18</v>
      </c>
      <c r="AE243" s="9" t="s">
        <v>18</v>
      </c>
      <c r="AF243" s="60">
        <f t="shared" si="54"/>
        <v>3</v>
      </c>
      <c r="AG243" s="44">
        <f>IF($A233=TRUE,AF243*$I233,0)</f>
        <v>0</v>
      </c>
      <c r="AH243" s="1" t="s">
        <v>2</v>
      </c>
      <c r="AI243" s="18">
        <v>3</v>
      </c>
      <c r="AJ243" s="19">
        <v>3</v>
      </c>
      <c r="AK243" s="8" t="s">
        <v>18</v>
      </c>
      <c r="AL243" s="9" t="s">
        <v>18</v>
      </c>
      <c r="AM243" s="18">
        <v>3</v>
      </c>
      <c r="AN243" s="19">
        <v>3</v>
      </c>
      <c r="AO243" s="8" t="s">
        <v>18</v>
      </c>
      <c r="AP243" s="9" t="s">
        <v>18</v>
      </c>
      <c r="AQ243" s="60">
        <f t="shared" si="55"/>
        <v>3</v>
      </c>
      <c r="AR243" s="44">
        <f>IF($A233=TRUE,AQ243*$I233,0)</f>
        <v>0</v>
      </c>
      <c r="AS243" s="1" t="s">
        <v>2</v>
      </c>
      <c r="AT243" s="8" t="s">
        <v>18</v>
      </c>
      <c r="AU243" s="9" t="s">
        <v>18</v>
      </c>
      <c r="AV243" s="8" t="s">
        <v>18</v>
      </c>
      <c r="AW243" s="9" t="s">
        <v>18</v>
      </c>
      <c r="AX243" s="8" t="s">
        <v>18</v>
      </c>
      <c r="AY243" s="9" t="s">
        <v>18</v>
      </c>
      <c r="AZ243" s="8" t="s">
        <v>18</v>
      </c>
      <c r="BA243" s="9" t="s">
        <v>18</v>
      </c>
      <c r="BB243" s="60">
        <f t="shared" si="56"/>
        <v>0</v>
      </c>
      <c r="BC243" s="44">
        <f>IF($A233=TRUE,BB243*$I233,0)</f>
        <v>0</v>
      </c>
    </row>
    <row r="244" spans="1:55" x14ac:dyDescent="0.3">
      <c r="A244" s="1" t="s">
        <v>20</v>
      </c>
      <c r="B244" s="8" t="s">
        <v>18</v>
      </c>
      <c r="C244" s="9" t="s">
        <v>18</v>
      </c>
      <c r="D244" s="21">
        <v>5</v>
      </c>
      <c r="E244" s="26">
        <v>5</v>
      </c>
      <c r="F244" s="8" t="s">
        <v>18</v>
      </c>
      <c r="G244" s="9" t="s">
        <v>18</v>
      </c>
      <c r="H244" s="8" t="s">
        <v>18</v>
      </c>
      <c r="I244" s="26">
        <v>5</v>
      </c>
      <c r="J244" s="60">
        <f t="shared" si="40"/>
        <v>5</v>
      </c>
      <c r="K244" s="44">
        <f>IF(A233=TRUE,J244*I233,0)</f>
        <v>0</v>
      </c>
      <c r="L244" s="1" t="s">
        <v>20</v>
      </c>
      <c r="M244" s="8" t="s">
        <v>18</v>
      </c>
      <c r="N244" s="9" t="s">
        <v>18</v>
      </c>
      <c r="O244" s="21">
        <v>5</v>
      </c>
      <c r="P244" s="26">
        <v>5</v>
      </c>
      <c r="Q244" s="8" t="s">
        <v>18</v>
      </c>
      <c r="R244" s="9" t="s">
        <v>18</v>
      </c>
      <c r="S244" s="8" t="s">
        <v>18</v>
      </c>
      <c r="T244" s="26">
        <v>5</v>
      </c>
      <c r="U244" s="60">
        <f t="shared" si="53"/>
        <v>5</v>
      </c>
      <c r="V244" s="44">
        <f>IF($A233=TRUE,U244*$I233,0)</f>
        <v>0</v>
      </c>
      <c r="W244" s="1" t="s">
        <v>20</v>
      </c>
      <c r="X244" s="8" t="s">
        <v>18</v>
      </c>
      <c r="Y244" s="9" t="s">
        <v>18</v>
      </c>
      <c r="Z244" s="21">
        <v>5</v>
      </c>
      <c r="AA244" s="26">
        <v>5</v>
      </c>
      <c r="AB244" s="8" t="s">
        <v>18</v>
      </c>
      <c r="AC244" s="9" t="s">
        <v>18</v>
      </c>
      <c r="AD244" s="8" t="s">
        <v>18</v>
      </c>
      <c r="AE244" s="26">
        <v>5</v>
      </c>
      <c r="AF244" s="60">
        <f t="shared" si="54"/>
        <v>5</v>
      </c>
      <c r="AG244" s="44">
        <f>IF($A233=TRUE,AF244*$I233,0)</f>
        <v>0</v>
      </c>
      <c r="AH244" s="1" t="s">
        <v>20</v>
      </c>
      <c r="AI244" s="8" t="s">
        <v>18</v>
      </c>
      <c r="AJ244" s="9" t="s">
        <v>18</v>
      </c>
      <c r="AK244" s="21">
        <v>5</v>
      </c>
      <c r="AL244" s="26">
        <v>5</v>
      </c>
      <c r="AM244" s="8" t="s">
        <v>18</v>
      </c>
      <c r="AN244" s="9" t="s">
        <v>18</v>
      </c>
      <c r="AO244" s="8" t="s">
        <v>18</v>
      </c>
      <c r="AP244" s="26">
        <v>5</v>
      </c>
      <c r="AQ244" s="60">
        <f t="shared" si="55"/>
        <v>5</v>
      </c>
      <c r="AR244" s="44">
        <f>IF($A233=TRUE,AQ244*$I233,0)</f>
        <v>0</v>
      </c>
      <c r="AS244" s="1" t="s">
        <v>20</v>
      </c>
      <c r="AT244" s="8" t="s">
        <v>18</v>
      </c>
      <c r="AU244" s="9" t="s">
        <v>18</v>
      </c>
      <c r="AV244" s="8" t="s">
        <v>18</v>
      </c>
      <c r="AW244" s="9" t="s">
        <v>18</v>
      </c>
      <c r="AX244" s="8" t="s">
        <v>18</v>
      </c>
      <c r="AY244" s="9" t="s">
        <v>18</v>
      </c>
      <c r="AZ244" s="8" t="s">
        <v>18</v>
      </c>
      <c r="BA244" s="9" t="s">
        <v>18</v>
      </c>
      <c r="BB244" s="60">
        <f t="shared" si="56"/>
        <v>0</v>
      </c>
      <c r="BC244" s="44">
        <f>IF($A233=TRUE,BB244*$I233,0)</f>
        <v>0</v>
      </c>
    </row>
    <row r="245" spans="1:55" x14ac:dyDescent="0.3">
      <c r="A245" s="1" t="s">
        <v>3</v>
      </c>
      <c r="B245" s="8" t="s">
        <v>18</v>
      </c>
      <c r="C245" s="9" t="s">
        <v>18</v>
      </c>
      <c r="D245" s="18">
        <v>3</v>
      </c>
      <c r="E245" s="19">
        <v>3</v>
      </c>
      <c r="F245" s="8" t="s">
        <v>18</v>
      </c>
      <c r="G245" s="9" t="s">
        <v>18</v>
      </c>
      <c r="H245" s="8" t="s">
        <v>18</v>
      </c>
      <c r="I245" s="9" t="s">
        <v>18</v>
      </c>
      <c r="J245" s="60">
        <f t="shared" si="40"/>
        <v>3</v>
      </c>
      <c r="K245" s="44">
        <f>IF(A233=TRUE,J245*I233,0)</f>
        <v>0</v>
      </c>
      <c r="L245" s="1" t="s">
        <v>3</v>
      </c>
      <c r="M245" s="8" t="s">
        <v>18</v>
      </c>
      <c r="N245" s="9" t="s">
        <v>18</v>
      </c>
      <c r="O245" s="18">
        <v>3</v>
      </c>
      <c r="P245" s="19">
        <v>3</v>
      </c>
      <c r="Q245" s="8" t="s">
        <v>18</v>
      </c>
      <c r="R245" s="9" t="s">
        <v>18</v>
      </c>
      <c r="S245" s="8" t="s">
        <v>18</v>
      </c>
      <c r="T245" s="9" t="s">
        <v>18</v>
      </c>
      <c r="U245" s="60">
        <f t="shared" si="53"/>
        <v>3</v>
      </c>
      <c r="V245" s="44">
        <f>IF($A233=TRUE,U245*$I233,0)</f>
        <v>0</v>
      </c>
      <c r="W245" s="1" t="s">
        <v>3</v>
      </c>
      <c r="X245" s="8" t="s">
        <v>18</v>
      </c>
      <c r="Y245" s="9" t="s">
        <v>18</v>
      </c>
      <c r="Z245" s="18">
        <v>3</v>
      </c>
      <c r="AA245" s="19">
        <v>3</v>
      </c>
      <c r="AB245" s="8" t="s">
        <v>18</v>
      </c>
      <c r="AC245" s="9" t="s">
        <v>18</v>
      </c>
      <c r="AD245" s="8" t="s">
        <v>18</v>
      </c>
      <c r="AE245" s="9" t="s">
        <v>18</v>
      </c>
      <c r="AF245" s="60">
        <f t="shared" si="54"/>
        <v>3</v>
      </c>
      <c r="AG245" s="44">
        <f>IF($A233=TRUE,AF245*$I233,0)</f>
        <v>0</v>
      </c>
      <c r="AH245" s="1" t="s">
        <v>3</v>
      </c>
      <c r="AI245" s="8" t="s">
        <v>18</v>
      </c>
      <c r="AJ245" s="9" t="s">
        <v>18</v>
      </c>
      <c r="AK245" s="18">
        <v>3</v>
      </c>
      <c r="AL245" s="19">
        <v>3</v>
      </c>
      <c r="AM245" s="8" t="s">
        <v>18</v>
      </c>
      <c r="AN245" s="9" t="s">
        <v>18</v>
      </c>
      <c r="AO245" s="8" t="s">
        <v>18</v>
      </c>
      <c r="AP245" s="9" t="s">
        <v>18</v>
      </c>
      <c r="AQ245" s="60">
        <f t="shared" si="55"/>
        <v>3</v>
      </c>
      <c r="AR245" s="44">
        <f>IF($A233=TRUE,AQ245*$I233,0)</f>
        <v>0</v>
      </c>
      <c r="AS245" s="1" t="s">
        <v>3</v>
      </c>
      <c r="AT245" s="8" t="s">
        <v>18</v>
      </c>
      <c r="AU245" s="9" t="s">
        <v>18</v>
      </c>
      <c r="AV245" s="8" t="s">
        <v>18</v>
      </c>
      <c r="AW245" s="9" t="s">
        <v>18</v>
      </c>
      <c r="AX245" s="8" t="s">
        <v>18</v>
      </c>
      <c r="AY245" s="9" t="s">
        <v>18</v>
      </c>
      <c r="AZ245" s="16">
        <v>4</v>
      </c>
      <c r="BA245" s="41">
        <v>2</v>
      </c>
      <c r="BB245" s="60">
        <f t="shared" si="56"/>
        <v>4</v>
      </c>
      <c r="BC245" s="44">
        <f>IF($A233=TRUE,BB245*$I233,0)</f>
        <v>0</v>
      </c>
    </row>
    <row r="246" spans="1:55" x14ac:dyDescent="0.3">
      <c r="A246" s="13" t="s">
        <v>12</v>
      </c>
      <c r="B246" s="14" t="s">
        <v>18</v>
      </c>
      <c r="C246" s="15" t="s">
        <v>18</v>
      </c>
      <c r="D246" s="25">
        <v>4</v>
      </c>
      <c r="E246" s="17">
        <v>4</v>
      </c>
      <c r="F246" s="14" t="s">
        <v>18</v>
      </c>
      <c r="G246" s="15" t="s">
        <v>18</v>
      </c>
      <c r="H246" s="14" t="s">
        <v>18</v>
      </c>
      <c r="I246" s="15" t="s">
        <v>18</v>
      </c>
      <c r="J246" s="60">
        <f t="shared" si="40"/>
        <v>4</v>
      </c>
      <c r="K246" s="44">
        <f>IF(A233=TRUE,J246*I233,0)</f>
        <v>0</v>
      </c>
      <c r="L246" s="13" t="s">
        <v>12</v>
      </c>
      <c r="M246" s="14" t="s">
        <v>18</v>
      </c>
      <c r="N246" s="15" t="s">
        <v>18</v>
      </c>
      <c r="O246" s="25">
        <v>4</v>
      </c>
      <c r="P246" s="17">
        <v>4</v>
      </c>
      <c r="Q246" s="14" t="s">
        <v>18</v>
      </c>
      <c r="R246" s="15" t="s">
        <v>18</v>
      </c>
      <c r="S246" s="14" t="s">
        <v>18</v>
      </c>
      <c r="T246" s="15" t="s">
        <v>18</v>
      </c>
      <c r="U246" s="60">
        <f t="shared" si="53"/>
        <v>4</v>
      </c>
      <c r="V246" s="44">
        <f>IF($A233=TRUE,U246*$I233,0)</f>
        <v>0</v>
      </c>
      <c r="W246" s="13" t="s">
        <v>12</v>
      </c>
      <c r="X246" s="14" t="s">
        <v>18</v>
      </c>
      <c r="Y246" s="15" t="s">
        <v>18</v>
      </c>
      <c r="Z246" s="25">
        <v>4</v>
      </c>
      <c r="AA246" s="17">
        <v>4</v>
      </c>
      <c r="AB246" s="14" t="s">
        <v>18</v>
      </c>
      <c r="AC246" s="15" t="s">
        <v>18</v>
      </c>
      <c r="AD246" s="14" t="s">
        <v>18</v>
      </c>
      <c r="AE246" s="15" t="s">
        <v>18</v>
      </c>
      <c r="AF246" s="60">
        <f t="shared" si="54"/>
        <v>4</v>
      </c>
      <c r="AG246" s="44">
        <f>IF($A233=TRUE,AF246*$I233,0)</f>
        <v>0</v>
      </c>
      <c r="AH246" s="13" t="s">
        <v>12</v>
      </c>
      <c r="AI246" s="14" t="s">
        <v>18</v>
      </c>
      <c r="AJ246" s="15" t="s">
        <v>18</v>
      </c>
      <c r="AK246" s="25">
        <v>4</v>
      </c>
      <c r="AL246" s="17">
        <v>4</v>
      </c>
      <c r="AM246" s="14" t="s">
        <v>18</v>
      </c>
      <c r="AN246" s="15" t="s">
        <v>18</v>
      </c>
      <c r="AO246" s="14" t="s">
        <v>18</v>
      </c>
      <c r="AP246" s="15" t="s">
        <v>18</v>
      </c>
      <c r="AQ246" s="60">
        <f t="shared" si="55"/>
        <v>4</v>
      </c>
      <c r="AR246" s="44">
        <f>IF($A233=TRUE,AQ246*$I233,0)</f>
        <v>0</v>
      </c>
      <c r="AS246" s="13" t="s">
        <v>12</v>
      </c>
      <c r="AT246" s="14" t="s">
        <v>18</v>
      </c>
      <c r="AU246" s="15" t="s">
        <v>18</v>
      </c>
      <c r="AV246" s="25">
        <v>4</v>
      </c>
      <c r="AW246" s="17">
        <v>4</v>
      </c>
      <c r="AX246" s="14" t="s">
        <v>18</v>
      </c>
      <c r="AY246" s="15" t="s">
        <v>18</v>
      </c>
      <c r="AZ246" s="40">
        <v>2</v>
      </c>
      <c r="BA246" s="41">
        <v>2</v>
      </c>
      <c r="BB246" s="60">
        <f t="shared" si="56"/>
        <v>4</v>
      </c>
      <c r="BC246" s="44">
        <f>IF($A233=TRUE,BB246*$I233,0)</f>
        <v>0</v>
      </c>
    </row>
    <row r="247" spans="1:55" x14ac:dyDescent="0.3">
      <c r="J247" s="60"/>
    </row>
    <row r="248" spans="1:55" x14ac:dyDescent="0.3">
      <c r="A248" s="4" t="s">
        <v>19</v>
      </c>
      <c r="B248" s="2"/>
      <c r="C248" s="2"/>
      <c r="D248" s="2"/>
      <c r="E248" s="2"/>
      <c r="F248" s="2"/>
      <c r="G248" s="2"/>
      <c r="H248" s="2"/>
      <c r="I248" s="2" t="s">
        <v>26</v>
      </c>
      <c r="J248" s="60"/>
    </row>
    <row r="249" spans="1:55" x14ac:dyDescent="0.3">
      <c r="A249" s="2" t="b">
        <v>0</v>
      </c>
      <c r="B249" s="2"/>
      <c r="C249" s="2"/>
      <c r="D249" s="2"/>
      <c r="E249" s="2"/>
      <c r="F249" s="2"/>
      <c r="G249" s="2"/>
      <c r="H249" s="2"/>
      <c r="I249" s="2">
        <f>F39</f>
        <v>0</v>
      </c>
      <c r="J249" s="60"/>
    </row>
    <row r="250" spans="1:55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60"/>
    </row>
    <row r="251" spans="1:55" x14ac:dyDescent="0.3">
      <c r="A251" s="10" t="s">
        <v>14</v>
      </c>
      <c r="B251" s="85" t="s">
        <v>7</v>
      </c>
      <c r="C251" s="86"/>
      <c r="D251" s="85" t="s">
        <v>10</v>
      </c>
      <c r="E251" s="86"/>
      <c r="F251" s="87" t="s">
        <v>11</v>
      </c>
      <c r="G251" s="86"/>
      <c r="H251" s="85" t="s">
        <v>13</v>
      </c>
      <c r="I251" s="86"/>
      <c r="J251" s="60"/>
      <c r="L251" s="10" t="s">
        <v>14</v>
      </c>
      <c r="M251" s="85" t="s">
        <v>7</v>
      </c>
      <c r="N251" s="86"/>
      <c r="O251" s="85" t="s">
        <v>10</v>
      </c>
      <c r="P251" s="86"/>
      <c r="Q251" s="87" t="s">
        <v>11</v>
      </c>
      <c r="R251" s="86"/>
      <c r="S251" s="85" t="s">
        <v>13</v>
      </c>
      <c r="T251" s="86"/>
      <c r="W251" s="10" t="s">
        <v>14</v>
      </c>
      <c r="X251" s="85" t="s">
        <v>7</v>
      </c>
      <c r="Y251" s="86"/>
      <c r="Z251" s="85" t="s">
        <v>10</v>
      </c>
      <c r="AA251" s="86"/>
      <c r="AB251" s="87" t="s">
        <v>11</v>
      </c>
      <c r="AC251" s="86"/>
      <c r="AD251" s="85" t="s">
        <v>13</v>
      </c>
      <c r="AE251" s="86"/>
      <c r="AH251" s="10" t="s">
        <v>14</v>
      </c>
      <c r="AI251" s="85" t="s">
        <v>7</v>
      </c>
      <c r="AJ251" s="86"/>
      <c r="AK251" s="85" t="s">
        <v>10</v>
      </c>
      <c r="AL251" s="86"/>
      <c r="AM251" s="87" t="s">
        <v>11</v>
      </c>
      <c r="AN251" s="86"/>
      <c r="AO251" s="85" t="s">
        <v>13</v>
      </c>
      <c r="AP251" s="86"/>
      <c r="AS251" s="10" t="s">
        <v>14</v>
      </c>
      <c r="AT251" s="85" t="s">
        <v>7</v>
      </c>
      <c r="AU251" s="86"/>
      <c r="AV251" s="85" t="s">
        <v>10</v>
      </c>
      <c r="AW251" s="86"/>
      <c r="AX251" s="87" t="s">
        <v>11</v>
      </c>
      <c r="AY251" s="86"/>
      <c r="AZ251" s="85" t="s">
        <v>13</v>
      </c>
      <c r="BA251" s="86"/>
    </row>
    <row r="252" spans="1:55" ht="15" thickBot="1" x14ac:dyDescent="0.35">
      <c r="A252" s="11" t="s">
        <v>0</v>
      </c>
      <c r="B252" s="5" t="s">
        <v>8</v>
      </c>
      <c r="C252" s="6" t="s">
        <v>9</v>
      </c>
      <c r="D252" s="7" t="s">
        <v>8</v>
      </c>
      <c r="E252" s="6" t="s">
        <v>9</v>
      </c>
      <c r="F252" s="7" t="s">
        <v>8</v>
      </c>
      <c r="G252" s="6" t="s">
        <v>9</v>
      </c>
      <c r="H252" s="7" t="s">
        <v>8</v>
      </c>
      <c r="I252" s="6" t="s">
        <v>9</v>
      </c>
      <c r="J252" s="60"/>
      <c r="L252" s="11" t="s">
        <v>0</v>
      </c>
      <c r="M252" s="5" t="s">
        <v>8</v>
      </c>
      <c r="N252" s="6" t="s">
        <v>9</v>
      </c>
      <c r="O252" s="7" t="s">
        <v>8</v>
      </c>
      <c r="P252" s="6" t="s">
        <v>9</v>
      </c>
      <c r="Q252" s="7" t="s">
        <v>8</v>
      </c>
      <c r="R252" s="6" t="s">
        <v>9</v>
      </c>
      <c r="S252" s="7" t="s">
        <v>8</v>
      </c>
      <c r="T252" s="6" t="s">
        <v>9</v>
      </c>
      <c r="W252" s="11" t="s">
        <v>0</v>
      </c>
      <c r="X252" s="5" t="s">
        <v>8</v>
      </c>
      <c r="Y252" s="6" t="s">
        <v>9</v>
      </c>
      <c r="Z252" s="7" t="s">
        <v>8</v>
      </c>
      <c r="AA252" s="6" t="s">
        <v>9</v>
      </c>
      <c r="AB252" s="7" t="s">
        <v>8</v>
      </c>
      <c r="AC252" s="6" t="s">
        <v>9</v>
      </c>
      <c r="AD252" s="7" t="s">
        <v>8</v>
      </c>
      <c r="AE252" s="6" t="s">
        <v>9</v>
      </c>
      <c r="AH252" s="11" t="s">
        <v>0</v>
      </c>
      <c r="AI252" s="5" t="s">
        <v>8</v>
      </c>
      <c r="AJ252" s="6" t="s">
        <v>9</v>
      </c>
      <c r="AK252" s="7" t="s">
        <v>8</v>
      </c>
      <c r="AL252" s="6" t="s">
        <v>9</v>
      </c>
      <c r="AM252" s="7" t="s">
        <v>8</v>
      </c>
      <c r="AN252" s="6" t="s">
        <v>9</v>
      </c>
      <c r="AO252" s="7" t="s">
        <v>8</v>
      </c>
      <c r="AP252" s="6" t="s">
        <v>9</v>
      </c>
      <c r="AS252" s="11" t="s">
        <v>0</v>
      </c>
      <c r="AT252" s="5" t="s">
        <v>8</v>
      </c>
      <c r="AU252" s="6" t="s">
        <v>9</v>
      </c>
      <c r="AV252" s="7" t="s">
        <v>8</v>
      </c>
      <c r="AW252" s="6" t="s">
        <v>9</v>
      </c>
      <c r="AX252" s="7" t="s">
        <v>8</v>
      </c>
      <c r="AY252" s="6" t="s">
        <v>9</v>
      </c>
      <c r="AZ252" s="7" t="s">
        <v>8</v>
      </c>
      <c r="BA252" s="6" t="s">
        <v>9</v>
      </c>
    </row>
    <row r="253" spans="1:55" ht="15" thickTop="1" x14ac:dyDescent="0.3">
      <c r="A253" s="1" t="s">
        <v>4</v>
      </c>
      <c r="B253" s="24">
        <v>1</v>
      </c>
      <c r="C253" s="26">
        <v>5</v>
      </c>
      <c r="D253" s="24">
        <v>1</v>
      </c>
      <c r="E253" s="26">
        <v>5</v>
      </c>
      <c r="F253" s="24">
        <v>1</v>
      </c>
      <c r="G253" s="26">
        <v>5</v>
      </c>
      <c r="H253" s="8" t="s">
        <v>18</v>
      </c>
      <c r="I253" s="9" t="s">
        <v>18</v>
      </c>
      <c r="J253" s="60">
        <f t="shared" si="40"/>
        <v>5</v>
      </c>
      <c r="K253" s="44">
        <f>IF(A249=TRUE,J253*I249,0)</f>
        <v>0</v>
      </c>
      <c r="L253" s="1" t="s">
        <v>4</v>
      </c>
      <c r="M253" s="24">
        <v>1</v>
      </c>
      <c r="N253" s="26">
        <v>5</v>
      </c>
      <c r="O253" s="24">
        <v>1</v>
      </c>
      <c r="P253" s="26">
        <v>5</v>
      </c>
      <c r="Q253" s="24">
        <v>1</v>
      </c>
      <c r="R253" s="26">
        <v>5</v>
      </c>
      <c r="S253" s="8" t="s">
        <v>18</v>
      </c>
      <c r="T253" s="9" t="s">
        <v>18</v>
      </c>
      <c r="U253" s="60">
        <f>MAX(M253:T253)</f>
        <v>5</v>
      </c>
      <c r="V253" s="44">
        <f>IF($A249=TRUE,U253*$I249,0)</f>
        <v>0</v>
      </c>
      <c r="W253" s="1" t="s">
        <v>4</v>
      </c>
      <c r="X253" s="24">
        <v>1</v>
      </c>
      <c r="Y253" s="26">
        <v>5</v>
      </c>
      <c r="Z253" s="24">
        <v>1</v>
      </c>
      <c r="AA253" s="26">
        <v>5</v>
      </c>
      <c r="AB253" s="24">
        <v>1</v>
      </c>
      <c r="AC253" s="26">
        <v>5</v>
      </c>
      <c r="AD253" s="8" t="s">
        <v>18</v>
      </c>
      <c r="AE253" s="9" t="s">
        <v>18</v>
      </c>
      <c r="AF253" s="60">
        <f>MAX(X253:AE253)</f>
        <v>5</v>
      </c>
      <c r="AG253" s="44">
        <f>IF($A249=TRUE,AF253*$I249,0)</f>
        <v>0</v>
      </c>
      <c r="AH253" s="1" t="s">
        <v>4</v>
      </c>
      <c r="AI253" s="24">
        <v>1</v>
      </c>
      <c r="AJ253" s="26">
        <v>5</v>
      </c>
      <c r="AK253" s="24">
        <v>1</v>
      </c>
      <c r="AL253" s="26">
        <v>5</v>
      </c>
      <c r="AM253" s="24">
        <v>1</v>
      </c>
      <c r="AN253" s="26">
        <v>5</v>
      </c>
      <c r="AO253" s="8" t="s">
        <v>18</v>
      </c>
      <c r="AP253" s="9" t="s">
        <v>18</v>
      </c>
      <c r="AQ253" s="60">
        <f>MAX(AI253:AP253)</f>
        <v>5</v>
      </c>
      <c r="AR253" s="44">
        <f>IF($A249=TRUE,AQ253*$I249,0)</f>
        <v>0</v>
      </c>
      <c r="AS253" s="1" t="s">
        <v>4</v>
      </c>
      <c r="AT253" s="8" t="s">
        <v>18</v>
      </c>
      <c r="AU253" s="9" t="s">
        <v>18</v>
      </c>
      <c r="AV253" s="8" t="s">
        <v>18</v>
      </c>
      <c r="AW253" s="9" t="s">
        <v>18</v>
      </c>
      <c r="AX253" s="8" t="s">
        <v>18</v>
      </c>
      <c r="AY253" s="9" t="s">
        <v>18</v>
      </c>
      <c r="AZ253" s="8" t="s">
        <v>18</v>
      </c>
      <c r="BA253" s="9" t="s">
        <v>18</v>
      </c>
      <c r="BB253" s="60">
        <f>MAX(AT253:BA253)</f>
        <v>0</v>
      </c>
      <c r="BC253" s="44">
        <f>IF($A249=TRUE,BB253*$I249,0)</f>
        <v>0</v>
      </c>
    </row>
    <row r="254" spans="1:55" x14ac:dyDescent="0.3">
      <c r="A254" s="1" t="s">
        <v>5</v>
      </c>
      <c r="B254" s="54">
        <v>1</v>
      </c>
      <c r="C254" s="26">
        <v>5</v>
      </c>
      <c r="D254" s="8" t="s">
        <v>18</v>
      </c>
      <c r="E254" s="9" t="s">
        <v>18</v>
      </c>
      <c r="F254" s="54">
        <v>1</v>
      </c>
      <c r="G254" s="26">
        <v>5</v>
      </c>
      <c r="H254" s="8" t="s">
        <v>18</v>
      </c>
      <c r="I254" s="9" t="s">
        <v>18</v>
      </c>
      <c r="J254" s="60">
        <f t="shared" ref="J254:J310" si="57">MAX(B254:I254)</f>
        <v>5</v>
      </c>
      <c r="K254" s="44">
        <f>IF(A249=TRUE,J254*I249,0)</f>
        <v>0</v>
      </c>
      <c r="L254" s="1" t="s">
        <v>5</v>
      </c>
      <c r="M254" s="54">
        <v>1</v>
      </c>
      <c r="N254" s="26">
        <v>5</v>
      </c>
      <c r="O254" s="8" t="s">
        <v>18</v>
      </c>
      <c r="P254" s="9" t="s">
        <v>18</v>
      </c>
      <c r="Q254" s="54">
        <v>1</v>
      </c>
      <c r="R254" s="26">
        <v>5</v>
      </c>
      <c r="S254" s="8" t="s">
        <v>18</v>
      </c>
      <c r="T254" s="9" t="s">
        <v>18</v>
      </c>
      <c r="U254" s="60">
        <f t="shared" ref="U254:U262" si="58">MAX(M254:T254)</f>
        <v>5</v>
      </c>
      <c r="V254" s="44">
        <f>IF($A249=TRUE,U254*$I249,0)</f>
        <v>0</v>
      </c>
      <c r="W254" s="1" t="s">
        <v>5</v>
      </c>
      <c r="X254" s="54">
        <v>1</v>
      </c>
      <c r="Y254" s="26">
        <v>5</v>
      </c>
      <c r="Z254" s="8" t="s">
        <v>18</v>
      </c>
      <c r="AA254" s="9" t="s">
        <v>18</v>
      </c>
      <c r="AB254" s="54">
        <v>1</v>
      </c>
      <c r="AC254" s="26">
        <v>5</v>
      </c>
      <c r="AD254" s="8" t="s">
        <v>18</v>
      </c>
      <c r="AE254" s="9" t="s">
        <v>18</v>
      </c>
      <c r="AF254" s="60">
        <f t="shared" ref="AF254:AF262" si="59">MAX(X254:AE254)</f>
        <v>5</v>
      </c>
      <c r="AG254" s="44">
        <f>IF($A249=TRUE,AF254*$I249,0)</f>
        <v>0</v>
      </c>
      <c r="AH254" s="1" t="s">
        <v>5</v>
      </c>
      <c r="AI254" s="54">
        <v>1</v>
      </c>
      <c r="AJ254" s="26">
        <v>5</v>
      </c>
      <c r="AK254" s="8" t="s">
        <v>18</v>
      </c>
      <c r="AL254" s="9" t="s">
        <v>18</v>
      </c>
      <c r="AM254" s="54">
        <v>1</v>
      </c>
      <c r="AN254" s="26">
        <v>5</v>
      </c>
      <c r="AO254" s="8" t="s">
        <v>18</v>
      </c>
      <c r="AP254" s="9" t="s">
        <v>18</v>
      </c>
      <c r="AQ254" s="60">
        <f t="shared" ref="AQ254:AQ262" si="60">MAX(AI254:AP254)</f>
        <v>5</v>
      </c>
      <c r="AR254" s="44">
        <f>IF($A249=TRUE,AQ254*$I249,0)</f>
        <v>0</v>
      </c>
      <c r="AS254" s="1" t="s">
        <v>5</v>
      </c>
      <c r="AT254" s="8" t="s">
        <v>18</v>
      </c>
      <c r="AU254" s="9" t="s">
        <v>18</v>
      </c>
      <c r="AV254" s="8" t="s">
        <v>18</v>
      </c>
      <c r="AW254" s="9" t="s">
        <v>18</v>
      </c>
      <c r="AX254" s="8" t="s">
        <v>18</v>
      </c>
      <c r="AY254" s="9" t="s">
        <v>18</v>
      </c>
      <c r="AZ254" s="8" t="s">
        <v>18</v>
      </c>
      <c r="BA254" s="9" t="s">
        <v>18</v>
      </c>
      <c r="BB254" s="60">
        <f t="shared" ref="BB254:BB262" si="61">MAX(AT254:BA254)</f>
        <v>0</v>
      </c>
      <c r="BC254" s="44">
        <f>IF($A249=TRUE,BB254*$I249,0)</f>
        <v>0</v>
      </c>
    </row>
    <row r="255" spans="1:55" x14ac:dyDescent="0.3">
      <c r="A255" s="1" t="s">
        <v>6</v>
      </c>
      <c r="B255" s="54">
        <v>1</v>
      </c>
      <c r="C255" s="26">
        <v>5</v>
      </c>
      <c r="D255" s="8" t="s">
        <v>18</v>
      </c>
      <c r="E255" s="9" t="s">
        <v>18</v>
      </c>
      <c r="F255" s="54">
        <v>1</v>
      </c>
      <c r="G255" s="26">
        <v>5</v>
      </c>
      <c r="H255" s="8" t="s">
        <v>18</v>
      </c>
      <c r="I255" s="9" t="s">
        <v>18</v>
      </c>
      <c r="J255" s="60">
        <f t="shared" si="57"/>
        <v>5</v>
      </c>
      <c r="K255" s="44">
        <f>IF(A249=TRUE,J255*I249,0)</f>
        <v>0</v>
      </c>
      <c r="L255" s="1" t="s">
        <v>6</v>
      </c>
      <c r="M255" s="54">
        <v>1</v>
      </c>
      <c r="N255" s="26">
        <v>5</v>
      </c>
      <c r="O255" s="8" t="s">
        <v>18</v>
      </c>
      <c r="P255" s="9" t="s">
        <v>18</v>
      </c>
      <c r="Q255" s="54">
        <v>1</v>
      </c>
      <c r="R255" s="26">
        <v>5</v>
      </c>
      <c r="S255" s="8" t="s">
        <v>18</v>
      </c>
      <c r="T255" s="9" t="s">
        <v>18</v>
      </c>
      <c r="U255" s="60">
        <f t="shared" si="58"/>
        <v>5</v>
      </c>
      <c r="V255" s="44">
        <f>IF($A249=TRUE,U255*$I249,0)</f>
        <v>0</v>
      </c>
      <c r="W255" s="1" t="s">
        <v>6</v>
      </c>
      <c r="X255" s="54">
        <v>1</v>
      </c>
      <c r="Y255" s="26">
        <v>5</v>
      </c>
      <c r="Z255" s="8" t="s">
        <v>18</v>
      </c>
      <c r="AA255" s="9" t="s">
        <v>18</v>
      </c>
      <c r="AB255" s="54">
        <v>1</v>
      </c>
      <c r="AC255" s="26">
        <v>5</v>
      </c>
      <c r="AD255" s="8" t="s">
        <v>18</v>
      </c>
      <c r="AE255" s="9" t="s">
        <v>18</v>
      </c>
      <c r="AF255" s="60">
        <f t="shared" si="59"/>
        <v>5</v>
      </c>
      <c r="AG255" s="44">
        <f>IF($A249=TRUE,AF255*$I249,0)</f>
        <v>0</v>
      </c>
      <c r="AH255" s="1" t="s">
        <v>6</v>
      </c>
      <c r="AI255" s="54">
        <v>1</v>
      </c>
      <c r="AJ255" s="26">
        <v>5</v>
      </c>
      <c r="AK255" s="8" t="s">
        <v>18</v>
      </c>
      <c r="AL255" s="9" t="s">
        <v>18</v>
      </c>
      <c r="AM255" s="54">
        <v>1</v>
      </c>
      <c r="AN255" s="26">
        <v>5</v>
      </c>
      <c r="AO255" s="8" t="s">
        <v>18</v>
      </c>
      <c r="AP255" s="9" t="s">
        <v>18</v>
      </c>
      <c r="AQ255" s="60">
        <f t="shared" si="60"/>
        <v>5</v>
      </c>
      <c r="AR255" s="44">
        <f>IF($A249=TRUE,AQ255*$I249,0)</f>
        <v>0</v>
      </c>
      <c r="AS255" s="1" t="s">
        <v>6</v>
      </c>
      <c r="AT255" s="8" t="s">
        <v>18</v>
      </c>
      <c r="AU255" s="9" t="s">
        <v>18</v>
      </c>
      <c r="AV255" s="8" t="s">
        <v>18</v>
      </c>
      <c r="AW255" s="9" t="s">
        <v>18</v>
      </c>
      <c r="AX255" s="8" t="s">
        <v>18</v>
      </c>
      <c r="AY255" s="9" t="s">
        <v>18</v>
      </c>
      <c r="AZ255" s="8" t="s">
        <v>18</v>
      </c>
      <c r="BA255" s="9" t="s">
        <v>18</v>
      </c>
      <c r="BB255" s="60">
        <f t="shared" si="61"/>
        <v>0</v>
      </c>
      <c r="BC255" s="44">
        <f>IF($A249=TRUE,BB255*$I249,0)</f>
        <v>0</v>
      </c>
    </row>
    <row r="256" spans="1:55" x14ac:dyDescent="0.3">
      <c r="A256" s="1" t="s">
        <v>1</v>
      </c>
      <c r="B256" s="8" t="s">
        <v>18</v>
      </c>
      <c r="C256" s="9" t="s">
        <v>18</v>
      </c>
      <c r="D256" s="8" t="s">
        <v>18</v>
      </c>
      <c r="E256" s="9" t="s">
        <v>18</v>
      </c>
      <c r="F256" s="8" t="s">
        <v>18</v>
      </c>
      <c r="G256" s="9" t="s">
        <v>18</v>
      </c>
      <c r="H256" s="24">
        <v>1</v>
      </c>
      <c r="I256" s="26">
        <v>5</v>
      </c>
      <c r="J256" s="60">
        <f t="shared" si="57"/>
        <v>5</v>
      </c>
      <c r="K256" s="44">
        <f>IF(A249=TRUE,J256*I249,0)</f>
        <v>0</v>
      </c>
      <c r="L256" s="1" t="s">
        <v>1</v>
      </c>
      <c r="M256" s="8" t="s">
        <v>18</v>
      </c>
      <c r="N256" s="9" t="s">
        <v>18</v>
      </c>
      <c r="O256" s="8" t="s">
        <v>18</v>
      </c>
      <c r="P256" s="9" t="s">
        <v>18</v>
      </c>
      <c r="Q256" s="8" t="s">
        <v>18</v>
      </c>
      <c r="R256" s="9" t="s">
        <v>18</v>
      </c>
      <c r="S256" s="24">
        <v>1</v>
      </c>
      <c r="T256" s="26">
        <v>5</v>
      </c>
      <c r="U256" s="60">
        <f t="shared" si="58"/>
        <v>5</v>
      </c>
      <c r="V256" s="44">
        <f>IF($A249=TRUE,U256*$I249,0)</f>
        <v>0</v>
      </c>
      <c r="W256" s="1" t="s">
        <v>1</v>
      </c>
      <c r="X256" s="8" t="s">
        <v>18</v>
      </c>
      <c r="Y256" s="9" t="s">
        <v>18</v>
      </c>
      <c r="Z256" s="8" t="s">
        <v>18</v>
      </c>
      <c r="AA256" s="9" t="s">
        <v>18</v>
      </c>
      <c r="AB256" s="8" t="s">
        <v>18</v>
      </c>
      <c r="AC256" s="9" t="s">
        <v>18</v>
      </c>
      <c r="AD256" s="24">
        <v>1</v>
      </c>
      <c r="AE256" s="26">
        <v>5</v>
      </c>
      <c r="AF256" s="60">
        <f t="shared" si="59"/>
        <v>5</v>
      </c>
      <c r="AG256" s="44">
        <f>IF($A249=TRUE,AF256*$I249,0)</f>
        <v>0</v>
      </c>
      <c r="AH256" s="1" t="s">
        <v>1</v>
      </c>
      <c r="AI256" s="8" t="s">
        <v>18</v>
      </c>
      <c r="AJ256" s="9" t="s">
        <v>18</v>
      </c>
      <c r="AK256" s="8" t="s">
        <v>18</v>
      </c>
      <c r="AL256" s="9" t="s">
        <v>18</v>
      </c>
      <c r="AM256" s="8" t="s">
        <v>18</v>
      </c>
      <c r="AN256" s="9" t="s">
        <v>18</v>
      </c>
      <c r="AO256" s="24">
        <v>1</v>
      </c>
      <c r="AP256" s="26">
        <v>5</v>
      </c>
      <c r="AQ256" s="60">
        <f t="shared" si="60"/>
        <v>5</v>
      </c>
      <c r="AR256" s="44">
        <f>IF($A249=TRUE,AQ256*$I249,0)</f>
        <v>0</v>
      </c>
      <c r="AS256" s="1" t="s">
        <v>1</v>
      </c>
      <c r="AT256" s="8" t="s">
        <v>18</v>
      </c>
      <c r="AU256" s="9" t="s">
        <v>18</v>
      </c>
      <c r="AV256" s="8" t="s">
        <v>18</v>
      </c>
      <c r="AW256" s="9" t="s">
        <v>18</v>
      </c>
      <c r="AX256" s="8" t="s">
        <v>18</v>
      </c>
      <c r="AY256" s="9" t="s">
        <v>18</v>
      </c>
      <c r="AZ256" s="8" t="s">
        <v>18</v>
      </c>
      <c r="BA256" s="9" t="s">
        <v>18</v>
      </c>
      <c r="BB256" s="60">
        <f t="shared" si="61"/>
        <v>0</v>
      </c>
      <c r="BC256" s="44">
        <f>IF($A249=TRUE,BB256*$I249,0)</f>
        <v>0</v>
      </c>
    </row>
    <row r="257" spans="1:55" x14ac:dyDescent="0.3">
      <c r="A257" s="1" t="s">
        <v>16</v>
      </c>
      <c r="B257" s="8" t="s">
        <v>18</v>
      </c>
      <c r="C257" s="9" t="s">
        <v>18</v>
      </c>
      <c r="D257" s="8" t="s">
        <v>18</v>
      </c>
      <c r="E257" s="9" t="s">
        <v>18</v>
      </c>
      <c r="F257" s="8" t="s">
        <v>18</v>
      </c>
      <c r="G257" s="26">
        <v>5</v>
      </c>
      <c r="H257" s="8" t="s">
        <v>18</v>
      </c>
      <c r="I257" s="26">
        <v>5</v>
      </c>
      <c r="J257" s="60">
        <f t="shared" si="57"/>
        <v>5</v>
      </c>
      <c r="K257" s="44">
        <f>IF(A249=TRUE,J257*I249,0)</f>
        <v>0</v>
      </c>
      <c r="L257" s="1" t="s">
        <v>16</v>
      </c>
      <c r="M257" s="8" t="s">
        <v>18</v>
      </c>
      <c r="N257" s="9" t="s">
        <v>18</v>
      </c>
      <c r="O257" s="8" t="s">
        <v>18</v>
      </c>
      <c r="P257" s="9" t="s">
        <v>18</v>
      </c>
      <c r="Q257" s="8" t="s">
        <v>18</v>
      </c>
      <c r="R257" s="26">
        <v>5</v>
      </c>
      <c r="S257" s="8" t="s">
        <v>18</v>
      </c>
      <c r="T257" s="26">
        <v>5</v>
      </c>
      <c r="U257" s="60">
        <f t="shared" si="58"/>
        <v>5</v>
      </c>
      <c r="V257" s="44">
        <f>IF($A249=TRUE,U257*$I249,0)</f>
        <v>0</v>
      </c>
      <c r="W257" s="1" t="s">
        <v>16</v>
      </c>
      <c r="X257" s="8" t="s">
        <v>18</v>
      </c>
      <c r="Y257" s="9" t="s">
        <v>18</v>
      </c>
      <c r="Z257" s="8" t="s">
        <v>18</v>
      </c>
      <c r="AA257" s="9" t="s">
        <v>18</v>
      </c>
      <c r="AB257" s="8" t="s">
        <v>18</v>
      </c>
      <c r="AC257" s="26">
        <v>5</v>
      </c>
      <c r="AD257" s="8" t="s">
        <v>18</v>
      </c>
      <c r="AE257" s="26">
        <v>5</v>
      </c>
      <c r="AF257" s="60">
        <f t="shared" si="59"/>
        <v>5</v>
      </c>
      <c r="AG257" s="44">
        <f>IF($A249=TRUE,AF257*$I249,0)</f>
        <v>0</v>
      </c>
      <c r="AH257" s="1" t="s">
        <v>16</v>
      </c>
      <c r="AI257" s="8" t="s">
        <v>18</v>
      </c>
      <c r="AJ257" s="9" t="s">
        <v>18</v>
      </c>
      <c r="AK257" s="8" t="s">
        <v>18</v>
      </c>
      <c r="AL257" s="9" t="s">
        <v>18</v>
      </c>
      <c r="AM257" s="8" t="s">
        <v>18</v>
      </c>
      <c r="AN257" s="26">
        <v>5</v>
      </c>
      <c r="AO257" s="8" t="s">
        <v>18</v>
      </c>
      <c r="AP257" s="26">
        <v>5</v>
      </c>
      <c r="AQ257" s="60">
        <f t="shared" si="60"/>
        <v>5</v>
      </c>
      <c r="AR257" s="44">
        <f>IF($A249=TRUE,AQ257*$I249,0)</f>
        <v>0</v>
      </c>
      <c r="AS257" s="1" t="s">
        <v>16</v>
      </c>
      <c r="AT257" s="8" t="s">
        <v>18</v>
      </c>
      <c r="AU257" s="9" t="s">
        <v>18</v>
      </c>
      <c r="AV257" s="8" t="s">
        <v>18</v>
      </c>
      <c r="AW257" s="9" t="s">
        <v>18</v>
      </c>
      <c r="AX257" s="8" t="s">
        <v>18</v>
      </c>
      <c r="AY257" s="9" t="s">
        <v>18</v>
      </c>
      <c r="AZ257" s="8" t="s">
        <v>18</v>
      </c>
      <c r="BA257" s="9" t="s">
        <v>18</v>
      </c>
      <c r="BB257" s="60">
        <f t="shared" si="61"/>
        <v>0</v>
      </c>
      <c r="BC257" s="44">
        <f>IF($A249=TRUE,BB257*$I249,0)</f>
        <v>0</v>
      </c>
    </row>
    <row r="258" spans="1:55" x14ac:dyDescent="0.3">
      <c r="A258" s="1" t="s">
        <v>17</v>
      </c>
      <c r="B258" s="8" t="s">
        <v>18</v>
      </c>
      <c r="C258" s="9" t="s">
        <v>18</v>
      </c>
      <c r="D258" s="24">
        <v>1</v>
      </c>
      <c r="E258" s="26">
        <v>5</v>
      </c>
      <c r="F258" s="8" t="s">
        <v>18</v>
      </c>
      <c r="G258" s="9" t="s">
        <v>18</v>
      </c>
      <c r="H258" s="24">
        <v>1</v>
      </c>
      <c r="I258" s="26">
        <v>5</v>
      </c>
      <c r="J258" s="60">
        <f t="shared" si="57"/>
        <v>5</v>
      </c>
      <c r="K258" s="44">
        <f>IF(A249=TRUE,J258*I249,0)</f>
        <v>0</v>
      </c>
      <c r="L258" s="1" t="s">
        <v>17</v>
      </c>
      <c r="M258" s="8" t="s">
        <v>18</v>
      </c>
      <c r="N258" s="9" t="s">
        <v>18</v>
      </c>
      <c r="O258" s="24">
        <v>1</v>
      </c>
      <c r="P258" s="26">
        <v>5</v>
      </c>
      <c r="Q258" s="8" t="s">
        <v>18</v>
      </c>
      <c r="R258" s="9" t="s">
        <v>18</v>
      </c>
      <c r="S258" s="24">
        <v>1</v>
      </c>
      <c r="T258" s="26">
        <v>5</v>
      </c>
      <c r="U258" s="60">
        <f t="shared" si="58"/>
        <v>5</v>
      </c>
      <c r="V258" s="44">
        <f>IF($A249=TRUE,U258*$I249,0)</f>
        <v>0</v>
      </c>
      <c r="W258" s="1" t="s">
        <v>17</v>
      </c>
      <c r="X258" s="8" t="s">
        <v>18</v>
      </c>
      <c r="Y258" s="9" t="s">
        <v>18</v>
      </c>
      <c r="Z258" s="24">
        <v>1</v>
      </c>
      <c r="AA258" s="26">
        <v>5</v>
      </c>
      <c r="AB258" s="8" t="s">
        <v>18</v>
      </c>
      <c r="AC258" s="9" t="s">
        <v>18</v>
      </c>
      <c r="AD258" s="24">
        <v>1</v>
      </c>
      <c r="AE258" s="26">
        <v>5</v>
      </c>
      <c r="AF258" s="60">
        <f t="shared" si="59"/>
        <v>5</v>
      </c>
      <c r="AG258" s="44">
        <f>IF($A249=TRUE,AF258*$I249,0)</f>
        <v>0</v>
      </c>
      <c r="AH258" s="1" t="s">
        <v>17</v>
      </c>
      <c r="AI258" s="8" t="s">
        <v>18</v>
      </c>
      <c r="AJ258" s="9" t="s">
        <v>18</v>
      </c>
      <c r="AK258" s="24">
        <v>1</v>
      </c>
      <c r="AL258" s="26">
        <v>5</v>
      </c>
      <c r="AM258" s="8" t="s">
        <v>18</v>
      </c>
      <c r="AN258" s="9" t="s">
        <v>18</v>
      </c>
      <c r="AO258" s="24">
        <v>1</v>
      </c>
      <c r="AP258" s="26">
        <v>5</v>
      </c>
      <c r="AQ258" s="60">
        <f t="shared" si="60"/>
        <v>5</v>
      </c>
      <c r="AR258" s="44">
        <f>IF($A249=TRUE,AQ258*$I249,0)</f>
        <v>0</v>
      </c>
      <c r="AS258" s="1" t="s">
        <v>17</v>
      </c>
      <c r="AT258" s="8" t="s">
        <v>18</v>
      </c>
      <c r="AU258" s="9" t="s">
        <v>18</v>
      </c>
      <c r="AV258" s="24">
        <v>1</v>
      </c>
      <c r="AW258" s="26">
        <v>5</v>
      </c>
      <c r="AX258" s="8" t="s">
        <v>18</v>
      </c>
      <c r="AY258" s="9" t="s">
        <v>18</v>
      </c>
      <c r="AZ258" s="24">
        <v>1</v>
      </c>
      <c r="BA258" s="26">
        <v>5</v>
      </c>
      <c r="BB258" s="60">
        <f t="shared" si="61"/>
        <v>5</v>
      </c>
      <c r="BC258" s="44">
        <f>IF($A249=TRUE,BB258*$I249,0)</f>
        <v>0</v>
      </c>
    </row>
    <row r="259" spans="1:55" x14ac:dyDescent="0.3">
      <c r="A259" s="1" t="s">
        <v>2</v>
      </c>
      <c r="B259" s="8" t="s">
        <v>18</v>
      </c>
      <c r="C259" s="9" t="s">
        <v>18</v>
      </c>
      <c r="D259" s="8" t="s">
        <v>18</v>
      </c>
      <c r="E259" s="9" t="s">
        <v>18</v>
      </c>
      <c r="F259" s="54">
        <v>1</v>
      </c>
      <c r="G259" s="26">
        <v>5</v>
      </c>
      <c r="H259" s="8" t="s">
        <v>18</v>
      </c>
      <c r="I259" s="9" t="s">
        <v>18</v>
      </c>
      <c r="J259" s="60">
        <f t="shared" si="57"/>
        <v>5</v>
      </c>
      <c r="K259" s="44">
        <f>IF(A249=TRUE,J259*I249,0)</f>
        <v>0</v>
      </c>
      <c r="L259" s="1" t="s">
        <v>2</v>
      </c>
      <c r="M259" s="8" t="s">
        <v>18</v>
      </c>
      <c r="N259" s="9" t="s">
        <v>18</v>
      </c>
      <c r="O259" s="8" t="s">
        <v>18</v>
      </c>
      <c r="P259" s="9" t="s">
        <v>18</v>
      </c>
      <c r="Q259" s="54">
        <v>1</v>
      </c>
      <c r="R259" s="26">
        <v>5</v>
      </c>
      <c r="S259" s="8" t="s">
        <v>18</v>
      </c>
      <c r="T259" s="9" t="s">
        <v>18</v>
      </c>
      <c r="U259" s="60">
        <f t="shared" si="58"/>
        <v>5</v>
      </c>
      <c r="V259" s="44">
        <f>IF($A249=TRUE,U259*$I249,0)</f>
        <v>0</v>
      </c>
      <c r="W259" s="1" t="s">
        <v>2</v>
      </c>
      <c r="X259" s="8" t="s">
        <v>18</v>
      </c>
      <c r="Y259" s="9" t="s">
        <v>18</v>
      </c>
      <c r="Z259" s="8" t="s">
        <v>18</v>
      </c>
      <c r="AA259" s="9" t="s">
        <v>18</v>
      </c>
      <c r="AB259" s="54">
        <v>1</v>
      </c>
      <c r="AC259" s="26">
        <v>5</v>
      </c>
      <c r="AD259" s="8" t="s">
        <v>18</v>
      </c>
      <c r="AE259" s="9" t="s">
        <v>18</v>
      </c>
      <c r="AF259" s="60">
        <f t="shared" si="59"/>
        <v>5</v>
      </c>
      <c r="AG259" s="44">
        <f>IF($A249=TRUE,AF259*$I249,0)</f>
        <v>0</v>
      </c>
      <c r="AH259" s="1" t="s">
        <v>2</v>
      </c>
      <c r="AI259" s="8" t="s">
        <v>18</v>
      </c>
      <c r="AJ259" s="9" t="s">
        <v>18</v>
      </c>
      <c r="AK259" s="8" t="s">
        <v>18</v>
      </c>
      <c r="AL259" s="9" t="s">
        <v>18</v>
      </c>
      <c r="AM259" s="54">
        <v>1</v>
      </c>
      <c r="AN259" s="26">
        <v>5</v>
      </c>
      <c r="AO259" s="8" t="s">
        <v>18</v>
      </c>
      <c r="AP259" s="9" t="s">
        <v>18</v>
      </c>
      <c r="AQ259" s="60">
        <f t="shared" si="60"/>
        <v>5</v>
      </c>
      <c r="AR259" s="44">
        <f>IF($A249=TRUE,AQ259*$I249,0)</f>
        <v>0</v>
      </c>
      <c r="AS259" s="1" t="s">
        <v>2</v>
      </c>
      <c r="AT259" s="8" t="s">
        <v>18</v>
      </c>
      <c r="AU259" s="9" t="s">
        <v>18</v>
      </c>
      <c r="AV259" s="8" t="s">
        <v>18</v>
      </c>
      <c r="AW259" s="9" t="s">
        <v>18</v>
      </c>
      <c r="AX259" s="8" t="s">
        <v>18</v>
      </c>
      <c r="AY259" s="9" t="s">
        <v>18</v>
      </c>
      <c r="AZ259" s="8" t="s">
        <v>18</v>
      </c>
      <c r="BA259" s="9" t="s">
        <v>18</v>
      </c>
      <c r="BB259" s="60">
        <f t="shared" si="61"/>
        <v>0</v>
      </c>
      <c r="BC259" s="44">
        <f>IF($A249=TRUE,BB259*$I249,0)</f>
        <v>0</v>
      </c>
    </row>
    <row r="260" spans="1:55" x14ac:dyDescent="0.3">
      <c r="A260" s="1" t="s">
        <v>20</v>
      </c>
      <c r="B260" s="8" t="s">
        <v>18</v>
      </c>
      <c r="C260" s="9" t="s">
        <v>18</v>
      </c>
      <c r="D260" s="24">
        <v>1</v>
      </c>
      <c r="E260" s="26">
        <v>5</v>
      </c>
      <c r="F260" s="8" t="s">
        <v>18</v>
      </c>
      <c r="G260" s="9" t="s">
        <v>18</v>
      </c>
      <c r="H260" s="24">
        <v>1</v>
      </c>
      <c r="I260" s="26">
        <v>5</v>
      </c>
      <c r="J260" s="60">
        <f t="shared" si="57"/>
        <v>5</v>
      </c>
      <c r="K260" s="44">
        <f>IF(A249=TRUE,J260*I249,0)</f>
        <v>0</v>
      </c>
      <c r="L260" s="1" t="s">
        <v>20</v>
      </c>
      <c r="M260" s="8" t="s">
        <v>18</v>
      </c>
      <c r="N260" s="9" t="s">
        <v>18</v>
      </c>
      <c r="O260" s="24">
        <v>1</v>
      </c>
      <c r="P260" s="26">
        <v>5</v>
      </c>
      <c r="Q260" s="8" t="s">
        <v>18</v>
      </c>
      <c r="R260" s="9" t="s">
        <v>18</v>
      </c>
      <c r="S260" s="24">
        <v>1</v>
      </c>
      <c r="T260" s="26">
        <v>5</v>
      </c>
      <c r="U260" s="60">
        <f t="shared" si="58"/>
        <v>5</v>
      </c>
      <c r="V260" s="44">
        <f>IF($A249=TRUE,U260*$I249,0)</f>
        <v>0</v>
      </c>
      <c r="W260" s="1" t="s">
        <v>20</v>
      </c>
      <c r="X260" s="8" t="s">
        <v>18</v>
      </c>
      <c r="Y260" s="9" t="s">
        <v>18</v>
      </c>
      <c r="Z260" s="24">
        <v>1</v>
      </c>
      <c r="AA260" s="26">
        <v>5</v>
      </c>
      <c r="AB260" s="8" t="s">
        <v>18</v>
      </c>
      <c r="AC260" s="9" t="s">
        <v>18</v>
      </c>
      <c r="AD260" s="24">
        <v>1</v>
      </c>
      <c r="AE260" s="26">
        <v>5</v>
      </c>
      <c r="AF260" s="60">
        <f t="shared" si="59"/>
        <v>5</v>
      </c>
      <c r="AG260" s="44">
        <f>IF($A249=TRUE,AF260*$I249,0)</f>
        <v>0</v>
      </c>
      <c r="AH260" s="1" t="s">
        <v>20</v>
      </c>
      <c r="AI260" s="8" t="s">
        <v>18</v>
      </c>
      <c r="AJ260" s="9" t="s">
        <v>18</v>
      </c>
      <c r="AK260" s="24">
        <v>1</v>
      </c>
      <c r="AL260" s="26">
        <v>5</v>
      </c>
      <c r="AM260" s="8" t="s">
        <v>18</v>
      </c>
      <c r="AN260" s="9" t="s">
        <v>18</v>
      </c>
      <c r="AO260" s="24">
        <v>1</v>
      </c>
      <c r="AP260" s="26">
        <v>5</v>
      </c>
      <c r="AQ260" s="60">
        <f t="shared" si="60"/>
        <v>5</v>
      </c>
      <c r="AR260" s="44">
        <f>IF($A249=TRUE,AQ260*$I249,0)</f>
        <v>0</v>
      </c>
      <c r="AS260" s="1" t="s">
        <v>20</v>
      </c>
      <c r="AT260" s="8" t="s">
        <v>18</v>
      </c>
      <c r="AU260" s="9" t="s">
        <v>18</v>
      </c>
      <c r="AV260" s="8" t="s">
        <v>18</v>
      </c>
      <c r="AW260" s="9" t="s">
        <v>18</v>
      </c>
      <c r="AX260" s="8" t="s">
        <v>18</v>
      </c>
      <c r="AY260" s="9" t="s">
        <v>18</v>
      </c>
      <c r="AZ260" s="8" t="s">
        <v>18</v>
      </c>
      <c r="BA260" s="9" t="s">
        <v>18</v>
      </c>
      <c r="BB260" s="60">
        <f t="shared" si="61"/>
        <v>0</v>
      </c>
      <c r="BC260" s="44">
        <f>IF($A249=TRUE,BB260*$I249,0)</f>
        <v>0</v>
      </c>
    </row>
    <row r="261" spans="1:55" x14ac:dyDescent="0.3">
      <c r="A261" s="1" t="s">
        <v>3</v>
      </c>
      <c r="B261" s="8" t="s">
        <v>18</v>
      </c>
      <c r="C261" s="9" t="s">
        <v>18</v>
      </c>
      <c r="D261" s="24">
        <v>1</v>
      </c>
      <c r="E261" s="26">
        <v>5</v>
      </c>
      <c r="F261" s="8" t="s">
        <v>18</v>
      </c>
      <c r="G261" s="9" t="s">
        <v>18</v>
      </c>
      <c r="H261" s="14" t="s">
        <v>18</v>
      </c>
      <c r="I261" s="15" t="s">
        <v>18</v>
      </c>
      <c r="J261" s="60">
        <f t="shared" si="57"/>
        <v>5</v>
      </c>
      <c r="K261" s="44">
        <f>IF(A249=TRUE,J261*I249,0)</f>
        <v>0</v>
      </c>
      <c r="L261" s="1" t="s">
        <v>3</v>
      </c>
      <c r="M261" s="8" t="s">
        <v>18</v>
      </c>
      <c r="N261" s="9" t="s">
        <v>18</v>
      </c>
      <c r="O261" s="24">
        <v>1</v>
      </c>
      <c r="P261" s="26">
        <v>5</v>
      </c>
      <c r="Q261" s="8" t="s">
        <v>18</v>
      </c>
      <c r="R261" s="9" t="s">
        <v>18</v>
      </c>
      <c r="S261" s="14" t="s">
        <v>18</v>
      </c>
      <c r="T261" s="15" t="s">
        <v>18</v>
      </c>
      <c r="U261" s="60">
        <f t="shared" si="58"/>
        <v>5</v>
      </c>
      <c r="V261" s="44">
        <f>IF($A249=TRUE,U261*$I249,0)</f>
        <v>0</v>
      </c>
      <c r="W261" s="1" t="s">
        <v>3</v>
      </c>
      <c r="X261" s="8" t="s">
        <v>18</v>
      </c>
      <c r="Y261" s="9" t="s">
        <v>18</v>
      </c>
      <c r="Z261" s="24">
        <v>1</v>
      </c>
      <c r="AA261" s="26">
        <v>5</v>
      </c>
      <c r="AB261" s="8" t="s">
        <v>18</v>
      </c>
      <c r="AC261" s="9" t="s">
        <v>18</v>
      </c>
      <c r="AD261" s="14" t="s">
        <v>18</v>
      </c>
      <c r="AE261" s="15" t="s">
        <v>18</v>
      </c>
      <c r="AF261" s="60">
        <f t="shared" si="59"/>
        <v>5</v>
      </c>
      <c r="AG261" s="44">
        <f>IF($A249=TRUE,AF261*$I249,0)</f>
        <v>0</v>
      </c>
      <c r="AH261" s="1" t="s">
        <v>3</v>
      </c>
      <c r="AI261" s="8" t="s">
        <v>18</v>
      </c>
      <c r="AJ261" s="9" t="s">
        <v>18</v>
      </c>
      <c r="AK261" s="24">
        <v>1</v>
      </c>
      <c r="AL261" s="26">
        <v>5</v>
      </c>
      <c r="AM261" s="8" t="s">
        <v>18</v>
      </c>
      <c r="AN261" s="9" t="s">
        <v>18</v>
      </c>
      <c r="AO261" s="14" t="s">
        <v>18</v>
      </c>
      <c r="AP261" s="15" t="s">
        <v>18</v>
      </c>
      <c r="AQ261" s="60">
        <f t="shared" si="60"/>
        <v>5</v>
      </c>
      <c r="AR261" s="44">
        <f>IF($A249=TRUE,AQ261*$I249,0)</f>
        <v>0</v>
      </c>
      <c r="AS261" s="1" t="s">
        <v>3</v>
      </c>
      <c r="AT261" s="8" t="s">
        <v>18</v>
      </c>
      <c r="AU261" s="9" t="s">
        <v>18</v>
      </c>
      <c r="AV261" s="8" t="s">
        <v>18</v>
      </c>
      <c r="AW261" s="9" t="s">
        <v>18</v>
      </c>
      <c r="AX261" s="8" t="s">
        <v>18</v>
      </c>
      <c r="AY261" s="9" t="s">
        <v>18</v>
      </c>
      <c r="AZ261" s="24">
        <v>1</v>
      </c>
      <c r="BA261" s="26">
        <v>5</v>
      </c>
      <c r="BB261" s="60">
        <f t="shared" si="61"/>
        <v>5</v>
      </c>
      <c r="BC261" s="44">
        <f>IF($A249=TRUE,BB261*$I249,0)</f>
        <v>0</v>
      </c>
    </row>
    <row r="262" spans="1:55" x14ac:dyDescent="0.3">
      <c r="A262" s="13" t="s">
        <v>12</v>
      </c>
      <c r="B262" s="14" t="s">
        <v>18</v>
      </c>
      <c r="C262" s="15" t="s">
        <v>18</v>
      </c>
      <c r="D262" s="24">
        <v>1</v>
      </c>
      <c r="E262" s="26">
        <v>5</v>
      </c>
      <c r="F262" s="14" t="s">
        <v>18</v>
      </c>
      <c r="G262" s="15" t="s">
        <v>18</v>
      </c>
      <c r="H262" s="14" t="s">
        <v>18</v>
      </c>
      <c r="I262" s="15" t="s">
        <v>18</v>
      </c>
      <c r="J262" s="60">
        <f t="shared" si="57"/>
        <v>5</v>
      </c>
      <c r="K262" s="44">
        <f>IF(A249=TRUE,J262*I249,0)</f>
        <v>0</v>
      </c>
      <c r="L262" s="13" t="s">
        <v>12</v>
      </c>
      <c r="M262" s="14" t="s">
        <v>18</v>
      </c>
      <c r="N262" s="15" t="s">
        <v>18</v>
      </c>
      <c r="O262" s="24">
        <v>1</v>
      </c>
      <c r="P262" s="26">
        <v>5</v>
      </c>
      <c r="Q262" s="14" t="s">
        <v>18</v>
      </c>
      <c r="R262" s="15" t="s">
        <v>18</v>
      </c>
      <c r="S262" s="14" t="s">
        <v>18</v>
      </c>
      <c r="T262" s="15" t="s">
        <v>18</v>
      </c>
      <c r="U262" s="60">
        <f t="shared" si="58"/>
        <v>5</v>
      </c>
      <c r="V262" s="44">
        <f>IF($A249=TRUE,U262*$I249,0)</f>
        <v>0</v>
      </c>
      <c r="W262" s="13" t="s">
        <v>12</v>
      </c>
      <c r="X262" s="14" t="s">
        <v>18</v>
      </c>
      <c r="Y262" s="15" t="s">
        <v>18</v>
      </c>
      <c r="Z262" s="24">
        <v>1</v>
      </c>
      <c r="AA262" s="26">
        <v>5</v>
      </c>
      <c r="AB262" s="14" t="s">
        <v>18</v>
      </c>
      <c r="AC262" s="15" t="s">
        <v>18</v>
      </c>
      <c r="AD262" s="14" t="s">
        <v>18</v>
      </c>
      <c r="AE262" s="15" t="s">
        <v>18</v>
      </c>
      <c r="AF262" s="60">
        <f t="shared" si="59"/>
        <v>5</v>
      </c>
      <c r="AG262" s="44">
        <f>IF($A249=TRUE,AF262*$I249,0)</f>
        <v>0</v>
      </c>
      <c r="AH262" s="13" t="s">
        <v>12</v>
      </c>
      <c r="AI262" s="14" t="s">
        <v>18</v>
      </c>
      <c r="AJ262" s="15" t="s">
        <v>18</v>
      </c>
      <c r="AK262" s="24">
        <v>1</v>
      </c>
      <c r="AL262" s="26">
        <v>5</v>
      </c>
      <c r="AM262" s="14" t="s">
        <v>18</v>
      </c>
      <c r="AN262" s="15" t="s">
        <v>18</v>
      </c>
      <c r="AO262" s="14" t="s">
        <v>18</v>
      </c>
      <c r="AP262" s="15" t="s">
        <v>18</v>
      </c>
      <c r="AQ262" s="60">
        <f t="shared" si="60"/>
        <v>5</v>
      </c>
      <c r="AR262" s="44">
        <f>IF($A249=TRUE,AQ262*$I249,0)</f>
        <v>0</v>
      </c>
      <c r="AS262" s="13" t="s">
        <v>12</v>
      </c>
      <c r="AT262" s="14" t="s">
        <v>18</v>
      </c>
      <c r="AU262" s="15" t="s">
        <v>18</v>
      </c>
      <c r="AV262" s="24">
        <v>1</v>
      </c>
      <c r="AW262" s="26">
        <v>5</v>
      </c>
      <c r="AX262" s="14" t="s">
        <v>18</v>
      </c>
      <c r="AY262" s="15" t="s">
        <v>18</v>
      </c>
      <c r="AZ262" s="24">
        <v>1</v>
      </c>
      <c r="BA262" s="26">
        <v>5</v>
      </c>
      <c r="BB262" s="60">
        <f t="shared" si="61"/>
        <v>5</v>
      </c>
      <c r="BC262" s="44">
        <f>IF($A249=TRUE,BB262*$I249,0)</f>
        <v>0</v>
      </c>
    </row>
    <row r="263" spans="1:55" x14ac:dyDescent="0.3">
      <c r="J263" s="60"/>
    </row>
    <row r="264" spans="1:55" x14ac:dyDescent="0.3">
      <c r="A264" s="4" t="s">
        <v>19</v>
      </c>
      <c r="B264" s="2"/>
      <c r="C264" s="2"/>
      <c r="D264" s="2"/>
      <c r="E264" s="2"/>
      <c r="F264" s="2"/>
      <c r="G264" s="2"/>
      <c r="H264" s="2"/>
      <c r="I264" s="2" t="s">
        <v>26</v>
      </c>
      <c r="J264" s="60"/>
    </row>
    <row r="265" spans="1:55" x14ac:dyDescent="0.3">
      <c r="A265" s="2" t="b">
        <v>0</v>
      </c>
      <c r="B265" s="2"/>
      <c r="C265" s="2"/>
      <c r="D265" s="2"/>
      <c r="E265" s="2"/>
      <c r="F265" s="2"/>
      <c r="G265" s="2"/>
      <c r="H265" s="2"/>
      <c r="I265" s="2">
        <f>F42</f>
        <v>0</v>
      </c>
      <c r="J265" s="60"/>
    </row>
    <row r="266" spans="1:55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60"/>
    </row>
    <row r="267" spans="1:55" x14ac:dyDescent="0.3">
      <c r="A267" s="10" t="s">
        <v>14</v>
      </c>
      <c r="B267" s="85" t="s">
        <v>7</v>
      </c>
      <c r="C267" s="86"/>
      <c r="D267" s="85" t="s">
        <v>10</v>
      </c>
      <c r="E267" s="86"/>
      <c r="F267" s="87" t="s">
        <v>11</v>
      </c>
      <c r="G267" s="86"/>
      <c r="H267" s="85" t="s">
        <v>13</v>
      </c>
      <c r="I267" s="86"/>
      <c r="J267" s="60"/>
      <c r="L267" s="10" t="s">
        <v>14</v>
      </c>
      <c r="M267" s="85" t="s">
        <v>7</v>
      </c>
      <c r="N267" s="86"/>
      <c r="O267" s="85" t="s">
        <v>10</v>
      </c>
      <c r="P267" s="86"/>
      <c r="Q267" s="87" t="s">
        <v>11</v>
      </c>
      <c r="R267" s="86"/>
      <c r="S267" s="85" t="s">
        <v>13</v>
      </c>
      <c r="T267" s="86"/>
      <c r="W267" s="10" t="s">
        <v>14</v>
      </c>
      <c r="X267" s="85" t="s">
        <v>7</v>
      </c>
      <c r="Y267" s="86"/>
      <c r="Z267" s="85" t="s">
        <v>10</v>
      </c>
      <c r="AA267" s="86"/>
      <c r="AB267" s="87" t="s">
        <v>11</v>
      </c>
      <c r="AC267" s="86"/>
      <c r="AD267" s="85" t="s">
        <v>13</v>
      </c>
      <c r="AE267" s="86"/>
      <c r="AH267" s="10" t="s">
        <v>14</v>
      </c>
      <c r="AI267" s="85" t="s">
        <v>7</v>
      </c>
      <c r="AJ267" s="86"/>
      <c r="AK267" s="85" t="s">
        <v>10</v>
      </c>
      <c r="AL267" s="86"/>
      <c r="AM267" s="87" t="s">
        <v>11</v>
      </c>
      <c r="AN267" s="86"/>
      <c r="AO267" s="85" t="s">
        <v>13</v>
      </c>
      <c r="AP267" s="86"/>
      <c r="AS267" s="10" t="s">
        <v>14</v>
      </c>
      <c r="AT267" s="85" t="s">
        <v>7</v>
      </c>
      <c r="AU267" s="86"/>
      <c r="AV267" s="85" t="s">
        <v>10</v>
      </c>
      <c r="AW267" s="86"/>
      <c r="AX267" s="87" t="s">
        <v>11</v>
      </c>
      <c r="AY267" s="86"/>
      <c r="AZ267" s="85" t="s">
        <v>13</v>
      </c>
      <c r="BA267" s="86"/>
    </row>
    <row r="268" spans="1:55" ht="15" thickBot="1" x14ac:dyDescent="0.35">
      <c r="A268" s="11" t="s">
        <v>0</v>
      </c>
      <c r="B268" s="5" t="s">
        <v>8</v>
      </c>
      <c r="C268" s="6" t="s">
        <v>9</v>
      </c>
      <c r="D268" s="7" t="s">
        <v>8</v>
      </c>
      <c r="E268" s="6" t="s">
        <v>9</v>
      </c>
      <c r="F268" s="7" t="s">
        <v>8</v>
      </c>
      <c r="G268" s="6" t="s">
        <v>9</v>
      </c>
      <c r="H268" s="7" t="s">
        <v>8</v>
      </c>
      <c r="I268" s="6" t="s">
        <v>9</v>
      </c>
      <c r="J268" s="60"/>
      <c r="L268" s="11" t="s">
        <v>0</v>
      </c>
      <c r="M268" s="5" t="s">
        <v>8</v>
      </c>
      <c r="N268" s="6" t="s">
        <v>9</v>
      </c>
      <c r="O268" s="7" t="s">
        <v>8</v>
      </c>
      <c r="P268" s="6" t="s">
        <v>9</v>
      </c>
      <c r="Q268" s="7" t="s">
        <v>8</v>
      </c>
      <c r="R268" s="6" t="s">
        <v>9</v>
      </c>
      <c r="S268" s="7" t="s">
        <v>8</v>
      </c>
      <c r="T268" s="6" t="s">
        <v>9</v>
      </c>
      <c r="W268" s="11" t="s">
        <v>0</v>
      </c>
      <c r="X268" s="5" t="s">
        <v>8</v>
      </c>
      <c r="Y268" s="6" t="s">
        <v>9</v>
      </c>
      <c r="Z268" s="7" t="s">
        <v>8</v>
      </c>
      <c r="AA268" s="6" t="s">
        <v>9</v>
      </c>
      <c r="AB268" s="7" t="s">
        <v>8</v>
      </c>
      <c r="AC268" s="6" t="s">
        <v>9</v>
      </c>
      <c r="AD268" s="7" t="s">
        <v>8</v>
      </c>
      <c r="AE268" s="6" t="s">
        <v>9</v>
      </c>
      <c r="AH268" s="11" t="s">
        <v>0</v>
      </c>
      <c r="AI268" s="5" t="s">
        <v>8</v>
      </c>
      <c r="AJ268" s="6" t="s">
        <v>9</v>
      </c>
      <c r="AK268" s="7" t="s">
        <v>8</v>
      </c>
      <c r="AL268" s="6" t="s">
        <v>9</v>
      </c>
      <c r="AM268" s="7" t="s">
        <v>8</v>
      </c>
      <c r="AN268" s="6" t="s">
        <v>9</v>
      </c>
      <c r="AO268" s="7" t="s">
        <v>8</v>
      </c>
      <c r="AP268" s="6" t="s">
        <v>9</v>
      </c>
      <c r="AS268" s="11" t="s">
        <v>0</v>
      </c>
      <c r="AT268" s="5" t="s">
        <v>8</v>
      </c>
      <c r="AU268" s="6" t="s">
        <v>9</v>
      </c>
      <c r="AV268" s="7" t="s">
        <v>8</v>
      </c>
      <c r="AW268" s="6" t="s">
        <v>9</v>
      </c>
      <c r="AX268" s="7" t="s">
        <v>8</v>
      </c>
      <c r="AY268" s="6" t="s">
        <v>9</v>
      </c>
      <c r="AZ268" s="7" t="s">
        <v>8</v>
      </c>
      <c r="BA268" s="6" t="s">
        <v>9</v>
      </c>
    </row>
    <row r="269" spans="1:55" ht="15" thickTop="1" x14ac:dyDescent="0.3">
      <c r="A269" s="1" t="s">
        <v>4</v>
      </c>
      <c r="B269" s="24">
        <v>1</v>
      </c>
      <c r="C269" s="24">
        <v>1</v>
      </c>
      <c r="D269" s="21">
        <v>5</v>
      </c>
      <c r="E269" s="26">
        <v>5</v>
      </c>
      <c r="F269" s="24">
        <v>1</v>
      </c>
      <c r="G269" s="24">
        <v>1</v>
      </c>
      <c r="H269" s="8" t="s">
        <v>18</v>
      </c>
      <c r="I269" s="9" t="s">
        <v>18</v>
      </c>
      <c r="J269" s="60">
        <f t="shared" si="57"/>
        <v>5</v>
      </c>
      <c r="K269" s="44">
        <f>IF(A265=TRUE,J269*I265,0)</f>
        <v>0</v>
      </c>
      <c r="L269" s="1" t="s">
        <v>4</v>
      </c>
      <c r="M269" s="24">
        <v>1</v>
      </c>
      <c r="N269" s="24">
        <v>1</v>
      </c>
      <c r="O269" s="21">
        <v>5</v>
      </c>
      <c r="P269" s="26">
        <v>5</v>
      </c>
      <c r="Q269" s="24">
        <v>1</v>
      </c>
      <c r="R269" s="24">
        <v>1</v>
      </c>
      <c r="S269" s="8" t="s">
        <v>18</v>
      </c>
      <c r="T269" s="9" t="s">
        <v>18</v>
      </c>
      <c r="U269" s="60">
        <f>MAX(M269:T269)</f>
        <v>5</v>
      </c>
      <c r="V269" s="44">
        <f>IF($A265=TRUE,U269*$I265,0)</f>
        <v>0</v>
      </c>
      <c r="W269" s="1" t="s">
        <v>4</v>
      </c>
      <c r="X269" s="24">
        <v>1</v>
      </c>
      <c r="Y269" s="24">
        <v>1</v>
      </c>
      <c r="Z269" s="21">
        <v>5</v>
      </c>
      <c r="AA269" s="26">
        <v>5</v>
      </c>
      <c r="AB269" s="24">
        <v>1</v>
      </c>
      <c r="AC269" s="24">
        <v>1</v>
      </c>
      <c r="AD269" s="8" t="s">
        <v>18</v>
      </c>
      <c r="AE269" s="9" t="s">
        <v>18</v>
      </c>
      <c r="AF269" s="60">
        <f>MAX(X269:AE269)</f>
        <v>5</v>
      </c>
      <c r="AG269" s="44">
        <f>IF($A265=TRUE,AF269*$I265,0)</f>
        <v>0</v>
      </c>
      <c r="AH269" s="1" t="s">
        <v>4</v>
      </c>
      <c r="AI269" s="24">
        <v>1</v>
      </c>
      <c r="AJ269" s="24">
        <v>1</v>
      </c>
      <c r="AK269" s="21">
        <v>5</v>
      </c>
      <c r="AL269" s="26">
        <v>5</v>
      </c>
      <c r="AM269" s="24">
        <v>1</v>
      </c>
      <c r="AN269" s="24">
        <v>1</v>
      </c>
      <c r="AO269" s="8" t="s">
        <v>18</v>
      </c>
      <c r="AP269" s="9" t="s">
        <v>18</v>
      </c>
      <c r="AQ269" s="60">
        <f>MAX(AI269:AP269)</f>
        <v>5</v>
      </c>
      <c r="AR269" s="44">
        <f>IF($A265=TRUE,AQ269*$I265,0)</f>
        <v>0</v>
      </c>
      <c r="AS269" s="1" t="s">
        <v>4</v>
      </c>
      <c r="AT269" s="8" t="s">
        <v>18</v>
      </c>
      <c r="AU269" s="9" t="s">
        <v>18</v>
      </c>
      <c r="AV269" s="8" t="s">
        <v>18</v>
      </c>
      <c r="AW269" s="9" t="s">
        <v>18</v>
      </c>
      <c r="AX269" s="8" t="s">
        <v>18</v>
      </c>
      <c r="AY269" s="9" t="s">
        <v>18</v>
      </c>
      <c r="AZ269" s="8" t="s">
        <v>18</v>
      </c>
      <c r="BA269" s="9" t="s">
        <v>18</v>
      </c>
      <c r="BB269" s="60">
        <f>MAX(AT269:BA269)</f>
        <v>0</v>
      </c>
      <c r="BC269" s="44">
        <f>IF($A265=TRUE,BB269*$I265,0)</f>
        <v>0</v>
      </c>
    </row>
    <row r="270" spans="1:55" x14ac:dyDescent="0.3">
      <c r="A270" s="1" t="s">
        <v>5</v>
      </c>
      <c r="B270" s="54">
        <v>1</v>
      </c>
      <c r="C270" s="54">
        <v>1</v>
      </c>
      <c r="D270" s="8" t="s">
        <v>18</v>
      </c>
      <c r="E270" s="9" t="s">
        <v>18</v>
      </c>
      <c r="F270" s="54">
        <v>1</v>
      </c>
      <c r="G270" s="54">
        <v>1</v>
      </c>
      <c r="H270" s="8" t="s">
        <v>18</v>
      </c>
      <c r="I270" s="9" t="s">
        <v>18</v>
      </c>
      <c r="J270" s="60">
        <f t="shared" si="57"/>
        <v>1</v>
      </c>
      <c r="K270" s="44">
        <f>IF(A265=TRUE,J270*I265,0)</f>
        <v>0</v>
      </c>
      <c r="L270" s="1" t="s">
        <v>5</v>
      </c>
      <c r="M270" s="54">
        <v>1</v>
      </c>
      <c r="N270" s="54">
        <v>1</v>
      </c>
      <c r="O270" s="8" t="s">
        <v>18</v>
      </c>
      <c r="P270" s="9" t="s">
        <v>18</v>
      </c>
      <c r="Q270" s="54">
        <v>1</v>
      </c>
      <c r="R270" s="54">
        <v>1</v>
      </c>
      <c r="S270" s="8" t="s">
        <v>18</v>
      </c>
      <c r="T270" s="9" t="s">
        <v>18</v>
      </c>
      <c r="U270" s="60">
        <f t="shared" ref="U270:U278" si="62">MAX(M270:T270)</f>
        <v>1</v>
      </c>
      <c r="V270" s="44">
        <f>IF($A265=TRUE,U270*$I265,0)</f>
        <v>0</v>
      </c>
      <c r="W270" s="1" t="s">
        <v>5</v>
      </c>
      <c r="X270" s="54">
        <v>1</v>
      </c>
      <c r="Y270" s="54">
        <v>1</v>
      </c>
      <c r="Z270" s="8" t="s">
        <v>18</v>
      </c>
      <c r="AA270" s="9" t="s">
        <v>18</v>
      </c>
      <c r="AB270" s="54">
        <v>1</v>
      </c>
      <c r="AC270" s="54">
        <v>1</v>
      </c>
      <c r="AD270" s="8" t="s">
        <v>18</v>
      </c>
      <c r="AE270" s="9" t="s">
        <v>18</v>
      </c>
      <c r="AF270" s="60">
        <f t="shared" ref="AF270:AF278" si="63">MAX(X270:AE270)</f>
        <v>1</v>
      </c>
      <c r="AG270" s="44">
        <f>IF($A265=TRUE,AF270*$I265,0)</f>
        <v>0</v>
      </c>
      <c r="AH270" s="1" t="s">
        <v>5</v>
      </c>
      <c r="AI270" s="54">
        <v>1</v>
      </c>
      <c r="AJ270" s="54">
        <v>1</v>
      </c>
      <c r="AK270" s="8" t="s">
        <v>18</v>
      </c>
      <c r="AL270" s="9" t="s">
        <v>18</v>
      </c>
      <c r="AM270" s="54">
        <v>1</v>
      </c>
      <c r="AN270" s="54">
        <v>1</v>
      </c>
      <c r="AO270" s="8" t="s">
        <v>18</v>
      </c>
      <c r="AP270" s="9" t="s">
        <v>18</v>
      </c>
      <c r="AQ270" s="60">
        <f t="shared" ref="AQ270:AQ278" si="64">MAX(AI270:AP270)</f>
        <v>1</v>
      </c>
      <c r="AR270" s="44">
        <f>IF($A265=TRUE,AQ270*$I265,0)</f>
        <v>0</v>
      </c>
      <c r="AS270" s="1" t="s">
        <v>5</v>
      </c>
      <c r="AT270" s="8" t="s">
        <v>18</v>
      </c>
      <c r="AU270" s="9" t="s">
        <v>18</v>
      </c>
      <c r="AV270" s="8" t="s">
        <v>18</v>
      </c>
      <c r="AW270" s="9" t="s">
        <v>18</v>
      </c>
      <c r="AX270" s="8" t="s">
        <v>18</v>
      </c>
      <c r="AY270" s="9" t="s">
        <v>18</v>
      </c>
      <c r="AZ270" s="8" t="s">
        <v>18</v>
      </c>
      <c r="BA270" s="9" t="s">
        <v>18</v>
      </c>
      <c r="BB270" s="60">
        <f t="shared" ref="BB270:BB278" si="65">MAX(AT270:BA270)</f>
        <v>0</v>
      </c>
      <c r="BC270" s="44">
        <f>IF($A265=TRUE,BB270*$I265,0)</f>
        <v>0</v>
      </c>
    </row>
    <row r="271" spans="1:55" x14ac:dyDescent="0.3">
      <c r="A271" s="1" t="s">
        <v>6</v>
      </c>
      <c r="B271" s="54">
        <v>1</v>
      </c>
      <c r="C271" s="54">
        <v>1</v>
      </c>
      <c r="D271" s="8" t="s">
        <v>18</v>
      </c>
      <c r="E271" s="9" t="s">
        <v>18</v>
      </c>
      <c r="F271" s="54">
        <v>1</v>
      </c>
      <c r="G271" s="54">
        <v>1</v>
      </c>
      <c r="H271" s="8" t="s">
        <v>18</v>
      </c>
      <c r="I271" s="9" t="s">
        <v>18</v>
      </c>
      <c r="J271" s="60">
        <f t="shared" si="57"/>
        <v>1</v>
      </c>
      <c r="K271" s="44">
        <f>IF(A265=TRUE,J271*I265,0)</f>
        <v>0</v>
      </c>
      <c r="L271" s="1" t="s">
        <v>6</v>
      </c>
      <c r="M271" s="54">
        <v>1</v>
      </c>
      <c r="N271" s="54">
        <v>1</v>
      </c>
      <c r="O271" s="8" t="s">
        <v>18</v>
      </c>
      <c r="P271" s="9" t="s">
        <v>18</v>
      </c>
      <c r="Q271" s="54">
        <v>1</v>
      </c>
      <c r="R271" s="54">
        <v>1</v>
      </c>
      <c r="S271" s="8" t="s">
        <v>18</v>
      </c>
      <c r="T271" s="9" t="s">
        <v>18</v>
      </c>
      <c r="U271" s="60">
        <f t="shared" si="62"/>
        <v>1</v>
      </c>
      <c r="V271" s="44">
        <f>IF($A265=TRUE,U271*$I265,0)</f>
        <v>0</v>
      </c>
      <c r="W271" s="1" t="s">
        <v>6</v>
      </c>
      <c r="X271" s="54">
        <v>1</v>
      </c>
      <c r="Y271" s="54">
        <v>1</v>
      </c>
      <c r="Z271" s="8" t="s">
        <v>18</v>
      </c>
      <c r="AA271" s="9" t="s">
        <v>18</v>
      </c>
      <c r="AB271" s="54">
        <v>1</v>
      </c>
      <c r="AC271" s="54">
        <v>1</v>
      </c>
      <c r="AD271" s="8" t="s">
        <v>18</v>
      </c>
      <c r="AE271" s="9" t="s">
        <v>18</v>
      </c>
      <c r="AF271" s="60">
        <f t="shared" si="63"/>
        <v>1</v>
      </c>
      <c r="AG271" s="44">
        <f>IF($A265=TRUE,AF271*$I265,0)</f>
        <v>0</v>
      </c>
      <c r="AH271" s="1" t="s">
        <v>6</v>
      </c>
      <c r="AI271" s="54">
        <v>1</v>
      </c>
      <c r="AJ271" s="54">
        <v>1</v>
      </c>
      <c r="AK271" s="8" t="s">
        <v>18</v>
      </c>
      <c r="AL271" s="9" t="s">
        <v>18</v>
      </c>
      <c r="AM271" s="54">
        <v>1</v>
      </c>
      <c r="AN271" s="54">
        <v>1</v>
      </c>
      <c r="AO271" s="8" t="s">
        <v>18</v>
      </c>
      <c r="AP271" s="9" t="s">
        <v>18</v>
      </c>
      <c r="AQ271" s="60">
        <f t="shared" si="64"/>
        <v>1</v>
      </c>
      <c r="AR271" s="44">
        <f>IF($A265=TRUE,AQ271*$I265,0)</f>
        <v>0</v>
      </c>
      <c r="AS271" s="1" t="s">
        <v>6</v>
      </c>
      <c r="AT271" s="8" t="s">
        <v>18</v>
      </c>
      <c r="AU271" s="9" t="s">
        <v>18</v>
      </c>
      <c r="AV271" s="8" t="s">
        <v>18</v>
      </c>
      <c r="AW271" s="9" t="s">
        <v>18</v>
      </c>
      <c r="AX271" s="8" t="s">
        <v>18</v>
      </c>
      <c r="AY271" s="9" t="s">
        <v>18</v>
      </c>
      <c r="AZ271" s="8" t="s">
        <v>18</v>
      </c>
      <c r="BA271" s="9" t="s">
        <v>18</v>
      </c>
      <c r="BB271" s="60">
        <f t="shared" si="65"/>
        <v>0</v>
      </c>
      <c r="BC271" s="44">
        <f>IF($A265=TRUE,BB271*$I265,0)</f>
        <v>0</v>
      </c>
    </row>
    <row r="272" spans="1:55" x14ac:dyDescent="0.3">
      <c r="A272" s="1" t="s">
        <v>1</v>
      </c>
      <c r="B272" s="8" t="s">
        <v>18</v>
      </c>
      <c r="C272" s="9" t="s">
        <v>18</v>
      </c>
      <c r="D272" s="8" t="s">
        <v>18</v>
      </c>
      <c r="E272" s="9" t="s">
        <v>18</v>
      </c>
      <c r="F272" s="8" t="s">
        <v>18</v>
      </c>
      <c r="G272" s="9" t="s">
        <v>18</v>
      </c>
      <c r="H272" s="24">
        <v>1</v>
      </c>
      <c r="I272" s="54">
        <v>1</v>
      </c>
      <c r="J272" s="60">
        <f t="shared" si="57"/>
        <v>1</v>
      </c>
      <c r="K272" s="44">
        <f>IF(A265=TRUE,J272*I265,0)</f>
        <v>0</v>
      </c>
      <c r="L272" s="1" t="s">
        <v>1</v>
      </c>
      <c r="M272" s="8" t="s">
        <v>18</v>
      </c>
      <c r="N272" s="9" t="s">
        <v>18</v>
      </c>
      <c r="O272" s="8" t="s">
        <v>18</v>
      </c>
      <c r="P272" s="9" t="s">
        <v>18</v>
      </c>
      <c r="Q272" s="8" t="s">
        <v>18</v>
      </c>
      <c r="R272" s="9" t="s">
        <v>18</v>
      </c>
      <c r="S272" s="24">
        <v>1</v>
      </c>
      <c r="T272" s="54">
        <v>1</v>
      </c>
      <c r="U272" s="60">
        <f t="shared" si="62"/>
        <v>1</v>
      </c>
      <c r="V272" s="44">
        <f>IF($A265=TRUE,U272*$I265,0)</f>
        <v>0</v>
      </c>
      <c r="W272" s="1" t="s">
        <v>1</v>
      </c>
      <c r="X272" s="8" t="s">
        <v>18</v>
      </c>
      <c r="Y272" s="9" t="s">
        <v>18</v>
      </c>
      <c r="Z272" s="8" t="s">
        <v>18</v>
      </c>
      <c r="AA272" s="9" t="s">
        <v>18</v>
      </c>
      <c r="AB272" s="8" t="s">
        <v>18</v>
      </c>
      <c r="AC272" s="9" t="s">
        <v>18</v>
      </c>
      <c r="AD272" s="24">
        <v>1</v>
      </c>
      <c r="AE272" s="54">
        <v>1</v>
      </c>
      <c r="AF272" s="60">
        <f t="shared" si="63"/>
        <v>1</v>
      </c>
      <c r="AG272" s="44">
        <f>IF($A265=TRUE,AF272*$I265,0)</f>
        <v>0</v>
      </c>
      <c r="AH272" s="1" t="s">
        <v>1</v>
      </c>
      <c r="AI272" s="8" t="s">
        <v>18</v>
      </c>
      <c r="AJ272" s="9" t="s">
        <v>18</v>
      </c>
      <c r="AK272" s="8" t="s">
        <v>18</v>
      </c>
      <c r="AL272" s="9" t="s">
        <v>18</v>
      </c>
      <c r="AM272" s="8" t="s">
        <v>18</v>
      </c>
      <c r="AN272" s="9" t="s">
        <v>18</v>
      </c>
      <c r="AO272" s="24">
        <v>1</v>
      </c>
      <c r="AP272" s="54">
        <v>1</v>
      </c>
      <c r="AQ272" s="60">
        <f t="shared" si="64"/>
        <v>1</v>
      </c>
      <c r="AR272" s="44">
        <f>IF($A265=TRUE,AQ272*$I265,0)</f>
        <v>0</v>
      </c>
      <c r="AS272" s="1" t="s">
        <v>1</v>
      </c>
      <c r="AT272" s="8" t="s">
        <v>18</v>
      </c>
      <c r="AU272" s="9" t="s">
        <v>18</v>
      </c>
      <c r="AV272" s="8" t="s">
        <v>18</v>
      </c>
      <c r="AW272" s="9" t="s">
        <v>18</v>
      </c>
      <c r="AX272" s="8" t="s">
        <v>18</v>
      </c>
      <c r="AY272" s="9" t="s">
        <v>18</v>
      </c>
      <c r="AZ272" s="8" t="s">
        <v>18</v>
      </c>
      <c r="BA272" s="9" t="s">
        <v>18</v>
      </c>
      <c r="BB272" s="60">
        <f t="shared" si="65"/>
        <v>0</v>
      </c>
      <c r="BC272" s="44">
        <f>IF($A265=TRUE,BB272*$I265,0)</f>
        <v>0</v>
      </c>
    </row>
    <row r="273" spans="1:55" x14ac:dyDescent="0.3">
      <c r="A273" s="1" t="s">
        <v>16</v>
      </c>
      <c r="B273" s="8" t="s">
        <v>18</v>
      </c>
      <c r="C273" s="9" t="s">
        <v>18</v>
      </c>
      <c r="D273" s="8" t="s">
        <v>18</v>
      </c>
      <c r="E273" s="9" t="s">
        <v>18</v>
      </c>
      <c r="F273" s="8" t="s">
        <v>18</v>
      </c>
      <c r="G273" s="54">
        <v>1</v>
      </c>
      <c r="H273" s="8" t="s">
        <v>18</v>
      </c>
      <c r="I273" s="54">
        <v>1</v>
      </c>
      <c r="J273" s="60">
        <f t="shared" si="57"/>
        <v>1</v>
      </c>
      <c r="K273" s="44">
        <f>IF(A265=TRUE,J273*I265,0)</f>
        <v>0</v>
      </c>
      <c r="L273" s="1" t="s">
        <v>16</v>
      </c>
      <c r="M273" s="8" t="s">
        <v>18</v>
      </c>
      <c r="N273" s="9" t="s">
        <v>18</v>
      </c>
      <c r="O273" s="8" t="s">
        <v>18</v>
      </c>
      <c r="P273" s="9" t="s">
        <v>18</v>
      </c>
      <c r="Q273" s="8" t="s">
        <v>18</v>
      </c>
      <c r="R273" s="54">
        <v>1</v>
      </c>
      <c r="S273" s="8" t="s">
        <v>18</v>
      </c>
      <c r="T273" s="54">
        <v>1</v>
      </c>
      <c r="U273" s="60">
        <f t="shared" si="62"/>
        <v>1</v>
      </c>
      <c r="V273" s="44">
        <f>IF($A265=TRUE,U273*$I265,0)</f>
        <v>0</v>
      </c>
      <c r="W273" s="1" t="s">
        <v>16</v>
      </c>
      <c r="X273" s="8" t="s">
        <v>18</v>
      </c>
      <c r="Y273" s="9" t="s">
        <v>18</v>
      </c>
      <c r="Z273" s="8" t="s">
        <v>18</v>
      </c>
      <c r="AA273" s="9" t="s">
        <v>18</v>
      </c>
      <c r="AB273" s="8" t="s">
        <v>18</v>
      </c>
      <c r="AC273" s="54">
        <v>1</v>
      </c>
      <c r="AD273" s="8" t="s">
        <v>18</v>
      </c>
      <c r="AE273" s="54">
        <v>1</v>
      </c>
      <c r="AF273" s="60">
        <f t="shared" si="63"/>
        <v>1</v>
      </c>
      <c r="AG273" s="44">
        <f>IF($A265=TRUE,AF273*$I265,0)</f>
        <v>0</v>
      </c>
      <c r="AH273" s="1" t="s">
        <v>16</v>
      </c>
      <c r="AI273" s="8" t="s">
        <v>18</v>
      </c>
      <c r="AJ273" s="9" t="s">
        <v>18</v>
      </c>
      <c r="AK273" s="8" t="s">
        <v>18</v>
      </c>
      <c r="AL273" s="9" t="s">
        <v>18</v>
      </c>
      <c r="AM273" s="8" t="s">
        <v>18</v>
      </c>
      <c r="AN273" s="54">
        <v>1</v>
      </c>
      <c r="AO273" s="8" t="s">
        <v>18</v>
      </c>
      <c r="AP273" s="54">
        <v>1</v>
      </c>
      <c r="AQ273" s="60">
        <f t="shared" si="64"/>
        <v>1</v>
      </c>
      <c r="AR273" s="44">
        <f>IF($A265=TRUE,AQ273*$I265,0)</f>
        <v>0</v>
      </c>
      <c r="AS273" s="1" t="s">
        <v>16</v>
      </c>
      <c r="AT273" s="8" t="s">
        <v>18</v>
      </c>
      <c r="AU273" s="9" t="s">
        <v>18</v>
      </c>
      <c r="AV273" s="8" t="s">
        <v>18</v>
      </c>
      <c r="AW273" s="9" t="s">
        <v>18</v>
      </c>
      <c r="AX273" s="8" t="s">
        <v>18</v>
      </c>
      <c r="AY273" s="9" t="s">
        <v>18</v>
      </c>
      <c r="AZ273" s="8" t="s">
        <v>18</v>
      </c>
      <c r="BA273" s="9" t="s">
        <v>18</v>
      </c>
      <c r="BB273" s="60">
        <f t="shared" si="65"/>
        <v>0</v>
      </c>
      <c r="BC273" s="44">
        <f>IF($A265=TRUE,BB273*$I265,0)</f>
        <v>0</v>
      </c>
    </row>
    <row r="274" spans="1:55" x14ac:dyDescent="0.3">
      <c r="A274" s="1" t="s">
        <v>17</v>
      </c>
      <c r="B274" s="8" t="s">
        <v>18</v>
      </c>
      <c r="C274" s="9" t="s">
        <v>18</v>
      </c>
      <c r="D274" s="21">
        <v>5</v>
      </c>
      <c r="E274" s="26">
        <v>5</v>
      </c>
      <c r="F274" s="8" t="s">
        <v>18</v>
      </c>
      <c r="G274" s="9" t="s">
        <v>18</v>
      </c>
      <c r="H274" s="21">
        <v>5</v>
      </c>
      <c r="I274" s="26">
        <v>5</v>
      </c>
      <c r="J274" s="60">
        <f t="shared" si="57"/>
        <v>5</v>
      </c>
      <c r="K274" s="44">
        <f>IF(A265=TRUE,J274*I265,0)</f>
        <v>0</v>
      </c>
      <c r="L274" s="1" t="s">
        <v>17</v>
      </c>
      <c r="M274" s="8" t="s">
        <v>18</v>
      </c>
      <c r="N274" s="9" t="s">
        <v>18</v>
      </c>
      <c r="O274" s="21">
        <v>5</v>
      </c>
      <c r="P274" s="26">
        <v>5</v>
      </c>
      <c r="Q274" s="8" t="s">
        <v>18</v>
      </c>
      <c r="R274" s="9" t="s">
        <v>18</v>
      </c>
      <c r="S274" s="21">
        <v>5</v>
      </c>
      <c r="T274" s="26">
        <v>5</v>
      </c>
      <c r="U274" s="60">
        <f t="shared" si="62"/>
        <v>5</v>
      </c>
      <c r="V274" s="44">
        <f>IF($A265=TRUE,U274*$I265,0)</f>
        <v>0</v>
      </c>
      <c r="W274" s="1" t="s">
        <v>17</v>
      </c>
      <c r="X274" s="8" t="s">
        <v>18</v>
      </c>
      <c r="Y274" s="9" t="s">
        <v>18</v>
      </c>
      <c r="Z274" s="21">
        <v>5</v>
      </c>
      <c r="AA274" s="26">
        <v>5</v>
      </c>
      <c r="AB274" s="8" t="s">
        <v>18</v>
      </c>
      <c r="AC274" s="9" t="s">
        <v>18</v>
      </c>
      <c r="AD274" s="21">
        <v>5</v>
      </c>
      <c r="AE274" s="26">
        <v>5</v>
      </c>
      <c r="AF274" s="60">
        <f t="shared" si="63"/>
        <v>5</v>
      </c>
      <c r="AG274" s="44">
        <f>IF($A265=TRUE,AF274*$I265,0)</f>
        <v>0</v>
      </c>
      <c r="AH274" s="1" t="s">
        <v>17</v>
      </c>
      <c r="AI274" s="8" t="s">
        <v>18</v>
      </c>
      <c r="AJ274" s="9" t="s">
        <v>18</v>
      </c>
      <c r="AK274" s="21">
        <v>5</v>
      </c>
      <c r="AL274" s="26">
        <v>5</v>
      </c>
      <c r="AM274" s="8" t="s">
        <v>18</v>
      </c>
      <c r="AN274" s="9" t="s">
        <v>18</v>
      </c>
      <c r="AO274" s="21">
        <v>5</v>
      </c>
      <c r="AP274" s="26">
        <v>5</v>
      </c>
      <c r="AQ274" s="60">
        <f t="shared" si="64"/>
        <v>5</v>
      </c>
      <c r="AR274" s="44">
        <f>IF($A265=TRUE,AQ274*$I265,0)</f>
        <v>0</v>
      </c>
      <c r="AS274" s="1" t="s">
        <v>17</v>
      </c>
      <c r="AT274" s="8" t="s">
        <v>18</v>
      </c>
      <c r="AU274" s="9" t="s">
        <v>18</v>
      </c>
      <c r="AV274" s="27">
        <v>5</v>
      </c>
      <c r="AW274" s="26">
        <v>5</v>
      </c>
      <c r="AX274" s="8" t="s">
        <v>18</v>
      </c>
      <c r="AY274" s="9" t="s">
        <v>18</v>
      </c>
      <c r="AZ274" s="27">
        <v>5</v>
      </c>
      <c r="BA274" s="26">
        <v>5</v>
      </c>
      <c r="BB274" s="60">
        <f t="shared" si="65"/>
        <v>5</v>
      </c>
      <c r="BC274" s="44">
        <f>IF($A265=TRUE,BB274*$I265,0)</f>
        <v>0</v>
      </c>
    </row>
    <row r="275" spans="1:55" x14ac:dyDescent="0.3">
      <c r="A275" s="1" t="s">
        <v>2</v>
      </c>
      <c r="B275" s="8" t="s">
        <v>18</v>
      </c>
      <c r="C275" s="9" t="s">
        <v>18</v>
      </c>
      <c r="D275" s="8" t="s">
        <v>18</v>
      </c>
      <c r="E275" s="9" t="s">
        <v>18</v>
      </c>
      <c r="F275" s="54">
        <v>1</v>
      </c>
      <c r="G275" s="54">
        <v>1</v>
      </c>
      <c r="H275" s="8" t="s">
        <v>18</v>
      </c>
      <c r="I275" s="9" t="s">
        <v>18</v>
      </c>
      <c r="J275" s="60">
        <f t="shared" si="57"/>
        <v>1</v>
      </c>
      <c r="K275" s="44">
        <f>IF(A265=TRUE,J275*I265,0)</f>
        <v>0</v>
      </c>
      <c r="L275" s="1" t="s">
        <v>2</v>
      </c>
      <c r="M275" s="8" t="s">
        <v>18</v>
      </c>
      <c r="N275" s="9" t="s">
        <v>18</v>
      </c>
      <c r="O275" s="8" t="s">
        <v>18</v>
      </c>
      <c r="P275" s="9" t="s">
        <v>18</v>
      </c>
      <c r="Q275" s="54">
        <v>1</v>
      </c>
      <c r="R275" s="54">
        <v>1</v>
      </c>
      <c r="S275" s="8" t="s">
        <v>18</v>
      </c>
      <c r="T275" s="9" t="s">
        <v>18</v>
      </c>
      <c r="U275" s="60">
        <f t="shared" si="62"/>
        <v>1</v>
      </c>
      <c r="V275" s="44">
        <f>IF($A265=TRUE,U275*$I265,0)</f>
        <v>0</v>
      </c>
      <c r="W275" s="1" t="s">
        <v>2</v>
      </c>
      <c r="X275" s="8" t="s">
        <v>18</v>
      </c>
      <c r="Y275" s="9" t="s">
        <v>18</v>
      </c>
      <c r="Z275" s="8" t="s">
        <v>18</v>
      </c>
      <c r="AA275" s="9" t="s">
        <v>18</v>
      </c>
      <c r="AB275" s="54">
        <v>1</v>
      </c>
      <c r="AC275" s="54">
        <v>1</v>
      </c>
      <c r="AD275" s="8" t="s">
        <v>18</v>
      </c>
      <c r="AE275" s="9" t="s">
        <v>18</v>
      </c>
      <c r="AF275" s="60">
        <f t="shared" si="63"/>
        <v>1</v>
      </c>
      <c r="AG275" s="44">
        <f>IF($A265=TRUE,AF275*$I265,0)</f>
        <v>0</v>
      </c>
      <c r="AH275" s="1" t="s">
        <v>2</v>
      </c>
      <c r="AI275" s="8" t="s">
        <v>18</v>
      </c>
      <c r="AJ275" s="9" t="s">
        <v>18</v>
      </c>
      <c r="AK275" s="8" t="s">
        <v>18</v>
      </c>
      <c r="AL275" s="9" t="s">
        <v>18</v>
      </c>
      <c r="AM275" s="54">
        <v>1</v>
      </c>
      <c r="AN275" s="54">
        <v>1</v>
      </c>
      <c r="AO275" s="8" t="s">
        <v>18</v>
      </c>
      <c r="AP275" s="9" t="s">
        <v>18</v>
      </c>
      <c r="AQ275" s="60">
        <f t="shared" si="64"/>
        <v>1</v>
      </c>
      <c r="AR275" s="44">
        <f>IF($A265=TRUE,AQ275*$I265,0)</f>
        <v>0</v>
      </c>
      <c r="AS275" s="1" t="s">
        <v>2</v>
      </c>
      <c r="AT275" s="8" t="s">
        <v>18</v>
      </c>
      <c r="AU275" s="9" t="s">
        <v>18</v>
      </c>
      <c r="AV275" s="8" t="s">
        <v>18</v>
      </c>
      <c r="AW275" s="9" t="s">
        <v>18</v>
      </c>
      <c r="AX275" s="8" t="s">
        <v>18</v>
      </c>
      <c r="AY275" s="9" t="s">
        <v>18</v>
      </c>
      <c r="AZ275" s="8" t="s">
        <v>18</v>
      </c>
      <c r="BA275" s="9" t="s">
        <v>18</v>
      </c>
      <c r="BB275" s="60">
        <f t="shared" si="65"/>
        <v>0</v>
      </c>
      <c r="BC275" s="44">
        <f>IF($A265=TRUE,BB275*$I265,0)</f>
        <v>0</v>
      </c>
    </row>
    <row r="276" spans="1:55" x14ac:dyDescent="0.3">
      <c r="A276" s="1" t="s">
        <v>20</v>
      </c>
      <c r="B276" s="8" t="s">
        <v>18</v>
      </c>
      <c r="C276" s="9" t="s">
        <v>18</v>
      </c>
      <c r="D276" s="21">
        <v>5</v>
      </c>
      <c r="E276" s="26">
        <v>5</v>
      </c>
      <c r="F276" s="8" t="s">
        <v>18</v>
      </c>
      <c r="G276" s="9" t="s">
        <v>18</v>
      </c>
      <c r="H276" s="14" t="s">
        <v>18</v>
      </c>
      <c r="I276" s="24">
        <v>1</v>
      </c>
      <c r="J276" s="60">
        <f t="shared" si="57"/>
        <v>5</v>
      </c>
      <c r="K276" s="44">
        <f>IF(A265=TRUE,J276*I265,0)</f>
        <v>0</v>
      </c>
      <c r="L276" s="1" t="s">
        <v>20</v>
      </c>
      <c r="M276" s="8" t="s">
        <v>18</v>
      </c>
      <c r="N276" s="9" t="s">
        <v>18</v>
      </c>
      <c r="O276" s="21">
        <v>5</v>
      </c>
      <c r="P276" s="26">
        <v>5</v>
      </c>
      <c r="Q276" s="8" t="s">
        <v>18</v>
      </c>
      <c r="R276" s="9" t="s">
        <v>18</v>
      </c>
      <c r="S276" s="14" t="s">
        <v>18</v>
      </c>
      <c r="T276" s="24">
        <v>1</v>
      </c>
      <c r="U276" s="60">
        <f t="shared" si="62"/>
        <v>5</v>
      </c>
      <c r="V276" s="44">
        <f>IF($A265=TRUE,U276*$I265,0)</f>
        <v>0</v>
      </c>
      <c r="W276" s="1" t="s">
        <v>20</v>
      </c>
      <c r="X276" s="8" t="s">
        <v>18</v>
      </c>
      <c r="Y276" s="9" t="s">
        <v>18</v>
      </c>
      <c r="Z276" s="21">
        <v>5</v>
      </c>
      <c r="AA276" s="26">
        <v>5</v>
      </c>
      <c r="AB276" s="8" t="s">
        <v>18</v>
      </c>
      <c r="AC276" s="9" t="s">
        <v>18</v>
      </c>
      <c r="AD276" s="14" t="s">
        <v>18</v>
      </c>
      <c r="AE276" s="24">
        <v>1</v>
      </c>
      <c r="AF276" s="60">
        <f t="shared" si="63"/>
        <v>5</v>
      </c>
      <c r="AG276" s="44">
        <f>IF($A265=TRUE,AF276*$I265,0)</f>
        <v>0</v>
      </c>
      <c r="AH276" s="1" t="s">
        <v>20</v>
      </c>
      <c r="AI276" s="8" t="s">
        <v>18</v>
      </c>
      <c r="AJ276" s="9" t="s">
        <v>18</v>
      </c>
      <c r="AK276" s="21">
        <v>5</v>
      </c>
      <c r="AL276" s="26">
        <v>5</v>
      </c>
      <c r="AM276" s="8" t="s">
        <v>18</v>
      </c>
      <c r="AN276" s="9" t="s">
        <v>18</v>
      </c>
      <c r="AO276" s="14" t="s">
        <v>18</v>
      </c>
      <c r="AP276" s="24">
        <v>1</v>
      </c>
      <c r="AQ276" s="60">
        <f t="shared" si="64"/>
        <v>5</v>
      </c>
      <c r="AR276" s="44">
        <f>IF($A265=TRUE,AQ276*$I265,0)</f>
        <v>0</v>
      </c>
      <c r="AS276" s="1" t="s">
        <v>20</v>
      </c>
      <c r="AT276" s="8" t="s">
        <v>18</v>
      </c>
      <c r="AU276" s="9" t="s">
        <v>18</v>
      </c>
      <c r="AV276" s="8" t="s">
        <v>18</v>
      </c>
      <c r="AW276" s="9" t="s">
        <v>18</v>
      </c>
      <c r="AX276" s="8" t="s">
        <v>18</v>
      </c>
      <c r="AY276" s="9" t="s">
        <v>18</v>
      </c>
      <c r="AZ276" s="8" t="s">
        <v>18</v>
      </c>
      <c r="BA276" s="9" t="s">
        <v>18</v>
      </c>
      <c r="BB276" s="60">
        <f t="shared" si="65"/>
        <v>0</v>
      </c>
      <c r="BC276" s="44">
        <f>IF($A265=TRUE,BB276*$I265,0)</f>
        <v>0</v>
      </c>
    </row>
    <row r="277" spans="1:55" x14ac:dyDescent="0.3">
      <c r="A277" s="1" t="s">
        <v>3</v>
      </c>
      <c r="B277" s="8" t="s">
        <v>18</v>
      </c>
      <c r="C277" s="9" t="s">
        <v>18</v>
      </c>
      <c r="D277" s="21">
        <v>5</v>
      </c>
      <c r="E277" s="26">
        <v>5</v>
      </c>
      <c r="F277" s="8" t="s">
        <v>18</v>
      </c>
      <c r="G277" s="9" t="s">
        <v>18</v>
      </c>
      <c r="H277" s="14" t="s">
        <v>18</v>
      </c>
      <c r="I277" s="15" t="s">
        <v>18</v>
      </c>
      <c r="J277" s="60">
        <f t="shared" si="57"/>
        <v>5</v>
      </c>
      <c r="K277" s="44">
        <f>IF(A265=TRUE,J277*I265,0)</f>
        <v>0</v>
      </c>
      <c r="L277" s="1" t="s">
        <v>3</v>
      </c>
      <c r="M277" s="8" t="s">
        <v>18</v>
      </c>
      <c r="N277" s="9" t="s">
        <v>18</v>
      </c>
      <c r="O277" s="21">
        <v>5</v>
      </c>
      <c r="P277" s="26">
        <v>5</v>
      </c>
      <c r="Q277" s="8" t="s">
        <v>18</v>
      </c>
      <c r="R277" s="9" t="s">
        <v>18</v>
      </c>
      <c r="S277" s="14" t="s">
        <v>18</v>
      </c>
      <c r="T277" s="15" t="s">
        <v>18</v>
      </c>
      <c r="U277" s="60">
        <f t="shared" si="62"/>
        <v>5</v>
      </c>
      <c r="V277" s="44">
        <f>IF($A265=TRUE,U277*$I265,0)</f>
        <v>0</v>
      </c>
      <c r="W277" s="1" t="s">
        <v>3</v>
      </c>
      <c r="X277" s="8" t="s">
        <v>18</v>
      </c>
      <c r="Y277" s="9" t="s">
        <v>18</v>
      </c>
      <c r="Z277" s="21">
        <v>5</v>
      </c>
      <c r="AA277" s="26">
        <v>5</v>
      </c>
      <c r="AB277" s="8" t="s">
        <v>18</v>
      </c>
      <c r="AC277" s="9" t="s">
        <v>18</v>
      </c>
      <c r="AD277" s="14" t="s">
        <v>18</v>
      </c>
      <c r="AE277" s="15" t="s">
        <v>18</v>
      </c>
      <c r="AF277" s="60">
        <f t="shared" si="63"/>
        <v>5</v>
      </c>
      <c r="AG277" s="44">
        <f>IF($A265=TRUE,AF277*$I265,0)</f>
        <v>0</v>
      </c>
      <c r="AH277" s="1" t="s">
        <v>3</v>
      </c>
      <c r="AI277" s="8" t="s">
        <v>18</v>
      </c>
      <c r="AJ277" s="9" t="s">
        <v>18</v>
      </c>
      <c r="AK277" s="21">
        <v>5</v>
      </c>
      <c r="AL277" s="26">
        <v>5</v>
      </c>
      <c r="AM277" s="8" t="s">
        <v>18</v>
      </c>
      <c r="AN277" s="9" t="s">
        <v>18</v>
      </c>
      <c r="AO277" s="14" t="s">
        <v>18</v>
      </c>
      <c r="AP277" s="15" t="s">
        <v>18</v>
      </c>
      <c r="AQ277" s="60">
        <f t="shared" si="64"/>
        <v>5</v>
      </c>
      <c r="AR277" s="44">
        <f>IF($A265=TRUE,AQ277*$I265,0)</f>
        <v>0</v>
      </c>
      <c r="AS277" s="1" t="s">
        <v>3</v>
      </c>
      <c r="AT277" s="8" t="s">
        <v>18</v>
      </c>
      <c r="AU277" s="9" t="s">
        <v>18</v>
      </c>
      <c r="AV277" s="8" t="s">
        <v>18</v>
      </c>
      <c r="AW277" s="9" t="s">
        <v>18</v>
      </c>
      <c r="AX277" s="8" t="s">
        <v>18</v>
      </c>
      <c r="AY277" s="9" t="s">
        <v>18</v>
      </c>
      <c r="AZ277" s="27">
        <v>5</v>
      </c>
      <c r="BA277" s="26">
        <v>5</v>
      </c>
      <c r="BB277" s="60">
        <f t="shared" si="65"/>
        <v>5</v>
      </c>
      <c r="BC277" s="44">
        <f>IF($A265=TRUE,BB277*$I265,0)</f>
        <v>0</v>
      </c>
    </row>
    <row r="278" spans="1:55" x14ac:dyDescent="0.3">
      <c r="A278" s="13" t="s">
        <v>12</v>
      </c>
      <c r="B278" s="14" t="s">
        <v>18</v>
      </c>
      <c r="C278" s="15" t="s">
        <v>18</v>
      </c>
      <c r="D278" s="33">
        <v>5</v>
      </c>
      <c r="E278" s="34">
        <v>5</v>
      </c>
      <c r="F278" s="14" t="s">
        <v>18</v>
      </c>
      <c r="G278" s="15" t="s">
        <v>18</v>
      </c>
      <c r="H278" s="14" t="s">
        <v>18</v>
      </c>
      <c r="I278" s="15" t="s">
        <v>18</v>
      </c>
      <c r="J278" s="60">
        <f t="shared" si="57"/>
        <v>5</v>
      </c>
      <c r="K278" s="44">
        <f>IF(A265=TRUE,J278*I265,0)</f>
        <v>0</v>
      </c>
      <c r="L278" s="13" t="s">
        <v>12</v>
      </c>
      <c r="M278" s="14" t="s">
        <v>18</v>
      </c>
      <c r="N278" s="15" t="s">
        <v>18</v>
      </c>
      <c r="O278" s="33">
        <v>5</v>
      </c>
      <c r="P278" s="34">
        <v>5</v>
      </c>
      <c r="Q278" s="14" t="s">
        <v>18</v>
      </c>
      <c r="R278" s="15" t="s">
        <v>18</v>
      </c>
      <c r="S278" s="14" t="s">
        <v>18</v>
      </c>
      <c r="T278" s="15" t="s">
        <v>18</v>
      </c>
      <c r="U278" s="60">
        <f t="shared" si="62"/>
        <v>5</v>
      </c>
      <c r="V278" s="44">
        <f>IF($A265=TRUE,U278*$I265,0)</f>
        <v>0</v>
      </c>
      <c r="W278" s="13" t="s">
        <v>12</v>
      </c>
      <c r="X278" s="14" t="s">
        <v>18</v>
      </c>
      <c r="Y278" s="15" t="s">
        <v>18</v>
      </c>
      <c r="Z278" s="33">
        <v>5</v>
      </c>
      <c r="AA278" s="34">
        <v>5</v>
      </c>
      <c r="AB278" s="14" t="s">
        <v>18</v>
      </c>
      <c r="AC278" s="15" t="s">
        <v>18</v>
      </c>
      <c r="AD278" s="14" t="s">
        <v>18</v>
      </c>
      <c r="AE278" s="15" t="s">
        <v>18</v>
      </c>
      <c r="AF278" s="60">
        <f t="shared" si="63"/>
        <v>5</v>
      </c>
      <c r="AG278" s="44">
        <f>IF($A265=TRUE,AF278*$I265,0)</f>
        <v>0</v>
      </c>
      <c r="AH278" s="13" t="s">
        <v>12</v>
      </c>
      <c r="AI278" s="14" t="s">
        <v>18</v>
      </c>
      <c r="AJ278" s="15" t="s">
        <v>18</v>
      </c>
      <c r="AK278" s="33">
        <v>5</v>
      </c>
      <c r="AL278" s="34">
        <v>5</v>
      </c>
      <c r="AM278" s="14" t="s">
        <v>18</v>
      </c>
      <c r="AN278" s="15" t="s">
        <v>18</v>
      </c>
      <c r="AO278" s="14" t="s">
        <v>18</v>
      </c>
      <c r="AP278" s="15" t="s">
        <v>18</v>
      </c>
      <c r="AQ278" s="60">
        <f t="shared" si="64"/>
        <v>5</v>
      </c>
      <c r="AR278" s="44">
        <f>IF($A265=TRUE,AQ278*$I265,0)</f>
        <v>0</v>
      </c>
      <c r="AS278" s="13" t="s">
        <v>12</v>
      </c>
      <c r="AT278" s="14" t="s">
        <v>18</v>
      </c>
      <c r="AU278" s="15" t="s">
        <v>18</v>
      </c>
      <c r="AV278" s="53">
        <v>5</v>
      </c>
      <c r="AW278" s="53">
        <v>5</v>
      </c>
      <c r="AX278" s="14" t="s">
        <v>18</v>
      </c>
      <c r="AY278" s="15" t="s">
        <v>18</v>
      </c>
      <c r="AZ278" s="27">
        <v>5</v>
      </c>
      <c r="BA278" s="26">
        <v>5</v>
      </c>
      <c r="BB278" s="60">
        <f t="shared" si="65"/>
        <v>5</v>
      </c>
      <c r="BC278" s="44">
        <f>IF($A265=TRUE,BB278*$I265,0)</f>
        <v>0</v>
      </c>
    </row>
    <row r="279" spans="1:55" x14ac:dyDescent="0.3">
      <c r="J279" s="60"/>
    </row>
    <row r="280" spans="1:55" x14ac:dyDescent="0.3">
      <c r="A280" s="4" t="s">
        <v>19</v>
      </c>
      <c r="B280" s="2"/>
      <c r="C280" s="2"/>
      <c r="D280" s="2"/>
      <c r="E280" s="2"/>
      <c r="F280" s="2"/>
      <c r="G280" s="2"/>
      <c r="H280" s="2"/>
      <c r="I280" s="2" t="s">
        <v>26</v>
      </c>
      <c r="J280" s="60"/>
    </row>
    <row r="281" spans="1:55" x14ac:dyDescent="0.3">
      <c r="A281" s="2" t="b">
        <v>0</v>
      </c>
      <c r="B281" s="2"/>
      <c r="C281" s="2"/>
      <c r="D281" s="2"/>
      <c r="E281" s="2"/>
      <c r="F281" s="2"/>
      <c r="G281" s="2"/>
      <c r="H281" s="2"/>
      <c r="I281" s="2">
        <f>F45</f>
        <v>0</v>
      </c>
      <c r="J281" s="60"/>
    </row>
    <row r="282" spans="1:55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60"/>
    </row>
    <row r="283" spans="1:55" x14ac:dyDescent="0.3">
      <c r="A283" s="10" t="s">
        <v>14</v>
      </c>
      <c r="B283" s="85" t="s">
        <v>7</v>
      </c>
      <c r="C283" s="86"/>
      <c r="D283" s="85" t="s">
        <v>10</v>
      </c>
      <c r="E283" s="86"/>
      <c r="F283" s="87" t="s">
        <v>11</v>
      </c>
      <c r="G283" s="86"/>
      <c r="H283" s="85" t="s">
        <v>13</v>
      </c>
      <c r="I283" s="86"/>
      <c r="J283" s="60"/>
      <c r="L283" s="10" t="s">
        <v>14</v>
      </c>
      <c r="M283" s="85" t="s">
        <v>7</v>
      </c>
      <c r="N283" s="86"/>
      <c r="O283" s="85" t="s">
        <v>10</v>
      </c>
      <c r="P283" s="86"/>
      <c r="Q283" s="87" t="s">
        <v>11</v>
      </c>
      <c r="R283" s="86"/>
      <c r="S283" s="85" t="s">
        <v>13</v>
      </c>
      <c r="T283" s="86"/>
      <c r="W283" s="10" t="s">
        <v>14</v>
      </c>
      <c r="X283" s="85" t="s">
        <v>7</v>
      </c>
      <c r="Y283" s="86"/>
      <c r="Z283" s="85" t="s">
        <v>10</v>
      </c>
      <c r="AA283" s="86"/>
      <c r="AB283" s="87" t="s">
        <v>11</v>
      </c>
      <c r="AC283" s="86"/>
      <c r="AD283" s="85" t="s">
        <v>13</v>
      </c>
      <c r="AE283" s="86"/>
      <c r="AH283" s="10" t="s">
        <v>14</v>
      </c>
      <c r="AI283" s="85" t="s">
        <v>7</v>
      </c>
      <c r="AJ283" s="86"/>
      <c r="AK283" s="85" t="s">
        <v>10</v>
      </c>
      <c r="AL283" s="86"/>
      <c r="AM283" s="87" t="s">
        <v>11</v>
      </c>
      <c r="AN283" s="86"/>
      <c r="AO283" s="85" t="s">
        <v>13</v>
      </c>
      <c r="AP283" s="86"/>
      <c r="AS283" s="10" t="s">
        <v>14</v>
      </c>
      <c r="AT283" s="85" t="s">
        <v>7</v>
      </c>
      <c r="AU283" s="86"/>
      <c r="AV283" s="85" t="s">
        <v>10</v>
      </c>
      <c r="AW283" s="86"/>
      <c r="AX283" s="87" t="s">
        <v>11</v>
      </c>
      <c r="AY283" s="86"/>
      <c r="AZ283" s="85" t="s">
        <v>13</v>
      </c>
      <c r="BA283" s="86"/>
    </row>
    <row r="284" spans="1:55" ht="15" thickBot="1" x14ac:dyDescent="0.35">
      <c r="A284" s="11" t="s">
        <v>0</v>
      </c>
      <c r="B284" s="5" t="s">
        <v>8</v>
      </c>
      <c r="C284" s="6" t="s">
        <v>9</v>
      </c>
      <c r="D284" s="7" t="s">
        <v>8</v>
      </c>
      <c r="E284" s="6" t="s">
        <v>9</v>
      </c>
      <c r="F284" s="7" t="s">
        <v>8</v>
      </c>
      <c r="G284" s="6" t="s">
        <v>9</v>
      </c>
      <c r="H284" s="7" t="s">
        <v>8</v>
      </c>
      <c r="I284" s="6" t="s">
        <v>9</v>
      </c>
      <c r="J284" s="60"/>
      <c r="L284" s="11" t="s">
        <v>0</v>
      </c>
      <c r="M284" s="5" t="s">
        <v>8</v>
      </c>
      <c r="N284" s="6" t="s">
        <v>9</v>
      </c>
      <c r="O284" s="7" t="s">
        <v>8</v>
      </c>
      <c r="P284" s="6" t="s">
        <v>9</v>
      </c>
      <c r="Q284" s="7" t="s">
        <v>8</v>
      </c>
      <c r="R284" s="6" t="s">
        <v>9</v>
      </c>
      <c r="S284" s="7" t="s">
        <v>8</v>
      </c>
      <c r="T284" s="6" t="s">
        <v>9</v>
      </c>
      <c r="W284" s="11" t="s">
        <v>0</v>
      </c>
      <c r="X284" s="5" t="s">
        <v>8</v>
      </c>
      <c r="Y284" s="6" t="s">
        <v>9</v>
      </c>
      <c r="Z284" s="7" t="s">
        <v>8</v>
      </c>
      <c r="AA284" s="6" t="s">
        <v>9</v>
      </c>
      <c r="AB284" s="7" t="s">
        <v>8</v>
      </c>
      <c r="AC284" s="6" t="s">
        <v>9</v>
      </c>
      <c r="AD284" s="7" t="s">
        <v>8</v>
      </c>
      <c r="AE284" s="6" t="s">
        <v>9</v>
      </c>
      <c r="AH284" s="11" t="s">
        <v>0</v>
      </c>
      <c r="AI284" s="5" t="s">
        <v>8</v>
      </c>
      <c r="AJ284" s="6" t="s">
        <v>9</v>
      </c>
      <c r="AK284" s="7" t="s">
        <v>8</v>
      </c>
      <c r="AL284" s="6" t="s">
        <v>9</v>
      </c>
      <c r="AM284" s="7" t="s">
        <v>8</v>
      </c>
      <c r="AN284" s="6" t="s">
        <v>9</v>
      </c>
      <c r="AO284" s="7" t="s">
        <v>8</v>
      </c>
      <c r="AP284" s="6" t="s">
        <v>9</v>
      </c>
      <c r="AS284" s="11" t="s">
        <v>0</v>
      </c>
      <c r="AT284" s="5" t="s">
        <v>8</v>
      </c>
      <c r="AU284" s="6" t="s">
        <v>9</v>
      </c>
      <c r="AV284" s="7" t="s">
        <v>8</v>
      </c>
      <c r="AW284" s="6" t="s">
        <v>9</v>
      </c>
      <c r="AX284" s="7" t="s">
        <v>8</v>
      </c>
      <c r="AY284" s="6" t="s">
        <v>9</v>
      </c>
      <c r="AZ284" s="7" t="s">
        <v>8</v>
      </c>
      <c r="BA284" s="6" t="s">
        <v>9</v>
      </c>
    </row>
    <row r="285" spans="1:55" ht="15" thickTop="1" x14ac:dyDescent="0.3">
      <c r="A285" s="1" t="s">
        <v>4</v>
      </c>
      <c r="B285" s="24">
        <v>1</v>
      </c>
      <c r="C285" s="24">
        <v>1</v>
      </c>
      <c r="D285" s="20">
        <v>2</v>
      </c>
      <c r="E285" s="23">
        <v>2</v>
      </c>
      <c r="F285" s="20">
        <v>2</v>
      </c>
      <c r="G285" s="23">
        <v>2</v>
      </c>
      <c r="H285" s="8" t="s">
        <v>18</v>
      </c>
      <c r="I285" s="9" t="s">
        <v>18</v>
      </c>
      <c r="J285" s="60">
        <f t="shared" si="57"/>
        <v>2</v>
      </c>
      <c r="K285" s="44">
        <f>IF(A281=TRUE,J285*I281,0)</f>
        <v>0</v>
      </c>
      <c r="L285" s="1" t="s">
        <v>4</v>
      </c>
      <c r="M285" s="24">
        <v>1</v>
      </c>
      <c r="N285" s="24">
        <v>1</v>
      </c>
      <c r="O285" s="20">
        <v>2</v>
      </c>
      <c r="P285" s="23">
        <v>2</v>
      </c>
      <c r="Q285" s="20">
        <v>2</v>
      </c>
      <c r="R285" s="23">
        <v>2</v>
      </c>
      <c r="S285" s="8" t="s">
        <v>18</v>
      </c>
      <c r="T285" s="9" t="s">
        <v>18</v>
      </c>
      <c r="U285" s="60">
        <f>MAX(M285:T285)</f>
        <v>2</v>
      </c>
      <c r="V285" s="44">
        <f>IF($A281=TRUE,U285*$I281,0)</f>
        <v>0</v>
      </c>
      <c r="W285" s="1" t="s">
        <v>4</v>
      </c>
      <c r="X285" s="24">
        <v>1</v>
      </c>
      <c r="Y285" s="24">
        <v>1</v>
      </c>
      <c r="Z285" s="20">
        <v>2</v>
      </c>
      <c r="AA285" s="23">
        <v>2</v>
      </c>
      <c r="AB285" s="20">
        <v>2</v>
      </c>
      <c r="AC285" s="23">
        <v>2</v>
      </c>
      <c r="AD285" s="8" t="s">
        <v>18</v>
      </c>
      <c r="AE285" s="9" t="s">
        <v>18</v>
      </c>
      <c r="AF285" s="60">
        <f>MAX(X285:AE285)</f>
        <v>2</v>
      </c>
      <c r="AG285" s="44">
        <f>IF($A281=TRUE,AF285*$I281,0)</f>
        <v>0</v>
      </c>
      <c r="AH285" s="1" t="s">
        <v>4</v>
      </c>
      <c r="AI285" s="24">
        <v>1</v>
      </c>
      <c r="AJ285" s="24">
        <v>1</v>
      </c>
      <c r="AK285" s="20">
        <v>2</v>
      </c>
      <c r="AL285" s="23">
        <v>2</v>
      </c>
      <c r="AM285" s="20">
        <v>2</v>
      </c>
      <c r="AN285" s="23">
        <v>2</v>
      </c>
      <c r="AO285" s="8" t="s">
        <v>18</v>
      </c>
      <c r="AP285" s="9" t="s">
        <v>18</v>
      </c>
      <c r="AQ285" s="60">
        <f>MAX(AI285:AP285)</f>
        <v>2</v>
      </c>
      <c r="AR285" s="44">
        <f>IF($A281=TRUE,AQ285*$I281,0)</f>
        <v>0</v>
      </c>
      <c r="AS285" s="1" t="s">
        <v>4</v>
      </c>
      <c r="AT285" s="8" t="s">
        <v>18</v>
      </c>
      <c r="AU285" s="9" t="s">
        <v>18</v>
      </c>
      <c r="AV285" s="8" t="s">
        <v>18</v>
      </c>
      <c r="AW285" s="9" t="s">
        <v>18</v>
      </c>
      <c r="AX285" s="8" t="s">
        <v>18</v>
      </c>
      <c r="AY285" s="9" t="s">
        <v>18</v>
      </c>
      <c r="AZ285" s="8" t="s">
        <v>18</v>
      </c>
      <c r="BA285" s="9" t="s">
        <v>18</v>
      </c>
      <c r="BB285" s="60">
        <f>MAX(AT285:BA285)</f>
        <v>0</v>
      </c>
      <c r="BC285" s="44">
        <f>IF($A281=TRUE,BB285*$I281,0)</f>
        <v>0</v>
      </c>
    </row>
    <row r="286" spans="1:55" x14ac:dyDescent="0.3">
      <c r="A286" s="1" t="s">
        <v>5</v>
      </c>
      <c r="B286" s="54">
        <v>1</v>
      </c>
      <c r="C286" s="54">
        <v>1</v>
      </c>
      <c r="D286" s="8" t="s">
        <v>18</v>
      </c>
      <c r="E286" s="9" t="s">
        <v>18</v>
      </c>
      <c r="F286" s="20">
        <v>2</v>
      </c>
      <c r="G286" s="23">
        <v>2</v>
      </c>
      <c r="H286" s="8" t="s">
        <v>18</v>
      </c>
      <c r="I286" s="9" t="s">
        <v>18</v>
      </c>
      <c r="J286" s="60">
        <f t="shared" si="57"/>
        <v>2</v>
      </c>
      <c r="K286" s="44">
        <f>IF(A281=TRUE,J286*I281,0)</f>
        <v>0</v>
      </c>
      <c r="L286" s="1" t="s">
        <v>5</v>
      </c>
      <c r="M286" s="54">
        <v>1</v>
      </c>
      <c r="N286" s="54">
        <v>1</v>
      </c>
      <c r="O286" s="8" t="s">
        <v>18</v>
      </c>
      <c r="P286" s="9" t="s">
        <v>18</v>
      </c>
      <c r="Q286" s="20">
        <v>2</v>
      </c>
      <c r="R286" s="23">
        <v>2</v>
      </c>
      <c r="S286" s="8" t="s">
        <v>18</v>
      </c>
      <c r="T286" s="9" t="s">
        <v>18</v>
      </c>
      <c r="U286" s="60">
        <f t="shared" ref="U286:U294" si="66">MAX(M286:T286)</f>
        <v>2</v>
      </c>
      <c r="V286" s="44">
        <f>IF($A281=TRUE,U286*$I281,0)</f>
        <v>0</v>
      </c>
      <c r="W286" s="1" t="s">
        <v>5</v>
      </c>
      <c r="X286" s="54">
        <v>1</v>
      </c>
      <c r="Y286" s="54">
        <v>1</v>
      </c>
      <c r="Z286" s="8" t="s">
        <v>18</v>
      </c>
      <c r="AA286" s="9" t="s">
        <v>18</v>
      </c>
      <c r="AB286" s="20">
        <v>2</v>
      </c>
      <c r="AC286" s="23">
        <v>2</v>
      </c>
      <c r="AD286" s="8" t="s">
        <v>18</v>
      </c>
      <c r="AE286" s="9" t="s">
        <v>18</v>
      </c>
      <c r="AF286" s="60">
        <f t="shared" ref="AF286:AF294" si="67">MAX(X286:AE286)</f>
        <v>2</v>
      </c>
      <c r="AG286" s="44">
        <f>IF($A281=TRUE,AF286*$I281,0)</f>
        <v>0</v>
      </c>
      <c r="AH286" s="1" t="s">
        <v>5</v>
      </c>
      <c r="AI286" s="54">
        <v>1</v>
      </c>
      <c r="AJ286" s="54">
        <v>1</v>
      </c>
      <c r="AK286" s="8" t="s">
        <v>18</v>
      </c>
      <c r="AL286" s="9" t="s">
        <v>18</v>
      </c>
      <c r="AM286" s="20">
        <v>2</v>
      </c>
      <c r="AN286" s="23">
        <v>2</v>
      </c>
      <c r="AO286" s="8" t="s">
        <v>18</v>
      </c>
      <c r="AP286" s="9" t="s">
        <v>18</v>
      </c>
      <c r="AQ286" s="60">
        <f t="shared" ref="AQ286:AQ294" si="68">MAX(AI286:AP286)</f>
        <v>2</v>
      </c>
      <c r="AR286" s="44">
        <f>IF($A281=TRUE,AQ286*$I281,0)</f>
        <v>0</v>
      </c>
      <c r="AS286" s="1" t="s">
        <v>5</v>
      </c>
      <c r="AT286" s="8" t="s">
        <v>18</v>
      </c>
      <c r="AU286" s="9" t="s">
        <v>18</v>
      </c>
      <c r="AV286" s="8" t="s">
        <v>18</v>
      </c>
      <c r="AW286" s="9" t="s">
        <v>18</v>
      </c>
      <c r="AX286" s="8" t="s">
        <v>18</v>
      </c>
      <c r="AY286" s="9" t="s">
        <v>18</v>
      </c>
      <c r="AZ286" s="8" t="s">
        <v>18</v>
      </c>
      <c r="BA286" s="9" t="s">
        <v>18</v>
      </c>
      <c r="BB286" s="60">
        <f t="shared" ref="BB286:BB294" si="69">MAX(AT286:BA286)</f>
        <v>0</v>
      </c>
      <c r="BC286" s="44">
        <f>IF($A281=TRUE,BB286*$I281,0)</f>
        <v>0</v>
      </c>
    </row>
    <row r="287" spans="1:55" x14ac:dyDescent="0.3">
      <c r="A287" s="1" t="s">
        <v>6</v>
      </c>
      <c r="B287" s="54">
        <v>1</v>
      </c>
      <c r="C287" s="54">
        <v>1</v>
      </c>
      <c r="D287" s="8" t="s">
        <v>18</v>
      </c>
      <c r="E287" s="9" t="s">
        <v>18</v>
      </c>
      <c r="F287" s="20">
        <v>2</v>
      </c>
      <c r="G287" s="23">
        <v>2</v>
      </c>
      <c r="H287" s="8" t="s">
        <v>18</v>
      </c>
      <c r="I287" s="9" t="s">
        <v>18</v>
      </c>
      <c r="J287" s="60">
        <f t="shared" si="57"/>
        <v>2</v>
      </c>
      <c r="K287" s="44">
        <f>IF(A281=TRUE,J287*I281,0)</f>
        <v>0</v>
      </c>
      <c r="L287" s="1" t="s">
        <v>6</v>
      </c>
      <c r="M287" s="54">
        <v>1</v>
      </c>
      <c r="N287" s="54">
        <v>1</v>
      </c>
      <c r="O287" s="8" t="s">
        <v>18</v>
      </c>
      <c r="P287" s="9" t="s">
        <v>18</v>
      </c>
      <c r="Q287" s="20">
        <v>2</v>
      </c>
      <c r="R287" s="23">
        <v>2</v>
      </c>
      <c r="S287" s="8" t="s">
        <v>18</v>
      </c>
      <c r="T287" s="9" t="s">
        <v>18</v>
      </c>
      <c r="U287" s="60">
        <f t="shared" si="66"/>
        <v>2</v>
      </c>
      <c r="V287" s="44">
        <f>IF($A281=TRUE,U287*$I281,0)</f>
        <v>0</v>
      </c>
      <c r="W287" s="1" t="s">
        <v>6</v>
      </c>
      <c r="X287" s="54">
        <v>1</v>
      </c>
      <c r="Y287" s="54">
        <v>1</v>
      </c>
      <c r="Z287" s="8" t="s">
        <v>18</v>
      </c>
      <c r="AA287" s="9" t="s">
        <v>18</v>
      </c>
      <c r="AB287" s="20">
        <v>2</v>
      </c>
      <c r="AC287" s="23">
        <v>2</v>
      </c>
      <c r="AD287" s="8" t="s">
        <v>18</v>
      </c>
      <c r="AE287" s="9" t="s">
        <v>18</v>
      </c>
      <c r="AF287" s="60">
        <f t="shared" si="67"/>
        <v>2</v>
      </c>
      <c r="AG287" s="44">
        <f>IF($A281=TRUE,AF287*$I281,0)</f>
        <v>0</v>
      </c>
      <c r="AH287" s="1" t="s">
        <v>6</v>
      </c>
      <c r="AI287" s="54">
        <v>1</v>
      </c>
      <c r="AJ287" s="54">
        <v>1</v>
      </c>
      <c r="AK287" s="8" t="s">
        <v>18</v>
      </c>
      <c r="AL287" s="9" t="s">
        <v>18</v>
      </c>
      <c r="AM287" s="20">
        <v>2</v>
      </c>
      <c r="AN287" s="23">
        <v>2</v>
      </c>
      <c r="AO287" s="8" t="s">
        <v>18</v>
      </c>
      <c r="AP287" s="9" t="s">
        <v>18</v>
      </c>
      <c r="AQ287" s="60">
        <f t="shared" si="68"/>
        <v>2</v>
      </c>
      <c r="AR287" s="44">
        <f>IF($A281=TRUE,AQ287*$I281,0)</f>
        <v>0</v>
      </c>
      <c r="AS287" s="1" t="s">
        <v>6</v>
      </c>
      <c r="AT287" s="8" t="s">
        <v>18</v>
      </c>
      <c r="AU287" s="9" t="s">
        <v>18</v>
      </c>
      <c r="AV287" s="8" t="s">
        <v>18</v>
      </c>
      <c r="AW287" s="9" t="s">
        <v>18</v>
      </c>
      <c r="AX287" s="8" t="s">
        <v>18</v>
      </c>
      <c r="AY287" s="9" t="s">
        <v>18</v>
      </c>
      <c r="AZ287" s="8" t="s">
        <v>18</v>
      </c>
      <c r="BA287" s="9" t="s">
        <v>18</v>
      </c>
      <c r="BB287" s="60">
        <f t="shared" si="69"/>
        <v>0</v>
      </c>
      <c r="BC287" s="44">
        <f>IF($A281=TRUE,BB287*$I281,0)</f>
        <v>0</v>
      </c>
    </row>
    <row r="288" spans="1:55" x14ac:dyDescent="0.3">
      <c r="A288" s="1" t="s">
        <v>1</v>
      </c>
      <c r="B288" s="8" t="s">
        <v>18</v>
      </c>
      <c r="C288" s="9" t="s">
        <v>18</v>
      </c>
      <c r="D288" s="8" t="s">
        <v>18</v>
      </c>
      <c r="E288" s="9" t="s">
        <v>18</v>
      </c>
      <c r="F288" s="8" t="s">
        <v>18</v>
      </c>
      <c r="G288" s="9" t="s">
        <v>18</v>
      </c>
      <c r="H288" s="16">
        <v>4</v>
      </c>
      <c r="I288" s="16">
        <v>4</v>
      </c>
      <c r="J288" s="60">
        <f t="shared" si="57"/>
        <v>4</v>
      </c>
      <c r="K288" s="44">
        <f>IF(A281=TRUE,J288*I281,0)</f>
        <v>0</v>
      </c>
      <c r="L288" s="1" t="s">
        <v>1</v>
      </c>
      <c r="M288" s="8" t="s">
        <v>18</v>
      </c>
      <c r="N288" s="9" t="s">
        <v>18</v>
      </c>
      <c r="O288" s="8" t="s">
        <v>18</v>
      </c>
      <c r="P288" s="9" t="s">
        <v>18</v>
      </c>
      <c r="Q288" s="8" t="s">
        <v>18</v>
      </c>
      <c r="R288" s="9" t="s">
        <v>18</v>
      </c>
      <c r="S288" s="16">
        <v>4</v>
      </c>
      <c r="T288" s="16">
        <v>4</v>
      </c>
      <c r="U288" s="60">
        <f t="shared" si="66"/>
        <v>4</v>
      </c>
      <c r="V288" s="44">
        <f>IF($A281=TRUE,U288*$I281,0)</f>
        <v>0</v>
      </c>
      <c r="W288" s="1" t="s">
        <v>1</v>
      </c>
      <c r="X288" s="8" t="s">
        <v>18</v>
      </c>
      <c r="Y288" s="9" t="s">
        <v>18</v>
      </c>
      <c r="Z288" s="8" t="s">
        <v>18</v>
      </c>
      <c r="AA288" s="9" t="s">
        <v>18</v>
      </c>
      <c r="AB288" s="8" t="s">
        <v>18</v>
      </c>
      <c r="AC288" s="9" t="s">
        <v>18</v>
      </c>
      <c r="AD288" s="16">
        <v>4</v>
      </c>
      <c r="AE288" s="16">
        <v>4</v>
      </c>
      <c r="AF288" s="60">
        <f t="shared" si="67"/>
        <v>4</v>
      </c>
      <c r="AG288" s="44">
        <f>IF($A281=TRUE,AF288*$I281,0)</f>
        <v>0</v>
      </c>
      <c r="AH288" s="1" t="s">
        <v>1</v>
      </c>
      <c r="AI288" s="8" t="s">
        <v>18</v>
      </c>
      <c r="AJ288" s="9" t="s">
        <v>18</v>
      </c>
      <c r="AK288" s="8" t="s">
        <v>18</v>
      </c>
      <c r="AL288" s="9" t="s">
        <v>18</v>
      </c>
      <c r="AM288" s="8" t="s">
        <v>18</v>
      </c>
      <c r="AN288" s="9" t="s">
        <v>18</v>
      </c>
      <c r="AO288" s="16">
        <v>4</v>
      </c>
      <c r="AP288" s="16">
        <v>4</v>
      </c>
      <c r="AQ288" s="60">
        <f t="shared" si="68"/>
        <v>4</v>
      </c>
      <c r="AR288" s="44">
        <f>IF($A281=TRUE,AQ288*$I281,0)</f>
        <v>0</v>
      </c>
      <c r="AS288" s="1" t="s">
        <v>1</v>
      </c>
      <c r="AT288" s="8" t="s">
        <v>18</v>
      </c>
      <c r="AU288" s="9" t="s">
        <v>18</v>
      </c>
      <c r="AV288" s="8" t="s">
        <v>18</v>
      </c>
      <c r="AW288" s="9" t="s">
        <v>18</v>
      </c>
      <c r="AX288" s="8" t="s">
        <v>18</v>
      </c>
      <c r="AY288" s="9" t="s">
        <v>18</v>
      </c>
      <c r="AZ288" s="8" t="s">
        <v>18</v>
      </c>
      <c r="BA288" s="9" t="s">
        <v>18</v>
      </c>
      <c r="BB288" s="60">
        <f t="shared" si="69"/>
        <v>0</v>
      </c>
      <c r="BC288" s="44">
        <f>IF($A281=TRUE,BB288*$I281,0)</f>
        <v>0</v>
      </c>
    </row>
    <row r="289" spans="1:55" x14ac:dyDescent="0.3">
      <c r="A289" s="1" t="s">
        <v>16</v>
      </c>
      <c r="B289" s="8" t="s">
        <v>18</v>
      </c>
      <c r="C289" s="9" t="s">
        <v>18</v>
      </c>
      <c r="D289" s="8" t="s">
        <v>18</v>
      </c>
      <c r="E289" s="9" t="s">
        <v>18</v>
      </c>
      <c r="F289" s="8" t="s">
        <v>18</v>
      </c>
      <c r="G289" s="16">
        <v>4</v>
      </c>
      <c r="H289" s="8" t="s">
        <v>18</v>
      </c>
      <c r="I289" s="16">
        <v>4</v>
      </c>
      <c r="J289" s="60">
        <f t="shared" si="57"/>
        <v>4</v>
      </c>
      <c r="K289" s="44">
        <f>IF(A281=TRUE,J289*I281,0)</f>
        <v>0</v>
      </c>
      <c r="L289" s="1" t="s">
        <v>16</v>
      </c>
      <c r="M289" s="8" t="s">
        <v>18</v>
      </c>
      <c r="N289" s="9" t="s">
        <v>18</v>
      </c>
      <c r="O289" s="8" t="s">
        <v>18</v>
      </c>
      <c r="P289" s="9" t="s">
        <v>18</v>
      </c>
      <c r="Q289" s="8" t="s">
        <v>18</v>
      </c>
      <c r="R289" s="16">
        <v>4</v>
      </c>
      <c r="S289" s="8" t="s">
        <v>18</v>
      </c>
      <c r="T289" s="16">
        <v>4</v>
      </c>
      <c r="U289" s="60">
        <f t="shared" si="66"/>
        <v>4</v>
      </c>
      <c r="V289" s="44">
        <f>IF($A281=TRUE,U289*$I281,0)</f>
        <v>0</v>
      </c>
      <c r="W289" s="1" t="s">
        <v>16</v>
      </c>
      <c r="X289" s="8" t="s">
        <v>18</v>
      </c>
      <c r="Y289" s="9" t="s">
        <v>18</v>
      </c>
      <c r="Z289" s="8" t="s">
        <v>18</v>
      </c>
      <c r="AA289" s="9" t="s">
        <v>18</v>
      </c>
      <c r="AB289" s="8" t="s">
        <v>18</v>
      </c>
      <c r="AC289" s="16">
        <v>4</v>
      </c>
      <c r="AD289" s="8" t="s">
        <v>18</v>
      </c>
      <c r="AE289" s="16">
        <v>4</v>
      </c>
      <c r="AF289" s="60">
        <f t="shared" si="67"/>
        <v>4</v>
      </c>
      <c r="AG289" s="44">
        <f>IF($A281=TRUE,AF289*$I281,0)</f>
        <v>0</v>
      </c>
      <c r="AH289" s="1" t="s">
        <v>16</v>
      </c>
      <c r="AI289" s="8" t="s">
        <v>18</v>
      </c>
      <c r="AJ289" s="9" t="s">
        <v>18</v>
      </c>
      <c r="AK289" s="8" t="s">
        <v>18</v>
      </c>
      <c r="AL289" s="9" t="s">
        <v>18</v>
      </c>
      <c r="AM289" s="8" t="s">
        <v>18</v>
      </c>
      <c r="AN289" s="16">
        <v>4</v>
      </c>
      <c r="AO289" s="8" t="s">
        <v>18</v>
      </c>
      <c r="AP289" s="16">
        <v>4</v>
      </c>
      <c r="AQ289" s="60">
        <f t="shared" si="68"/>
        <v>4</v>
      </c>
      <c r="AR289" s="44">
        <f>IF($A281=TRUE,AQ289*$I281,0)</f>
        <v>0</v>
      </c>
      <c r="AS289" s="1" t="s">
        <v>16</v>
      </c>
      <c r="AT289" s="8" t="s">
        <v>18</v>
      </c>
      <c r="AU289" s="9" t="s">
        <v>18</v>
      </c>
      <c r="AV289" s="8" t="s">
        <v>18</v>
      </c>
      <c r="AW289" s="9" t="s">
        <v>18</v>
      </c>
      <c r="AX289" s="8" t="s">
        <v>18</v>
      </c>
      <c r="AY289" s="9" t="s">
        <v>18</v>
      </c>
      <c r="AZ289" s="8" t="s">
        <v>18</v>
      </c>
      <c r="BA289" s="9" t="s">
        <v>18</v>
      </c>
      <c r="BB289" s="60">
        <f t="shared" si="69"/>
        <v>0</v>
      </c>
      <c r="BC289" s="44">
        <f>IF($A281=TRUE,BB289*$I281,0)</f>
        <v>0</v>
      </c>
    </row>
    <row r="290" spans="1:55" x14ac:dyDescent="0.3">
      <c r="A290" s="1" t="s">
        <v>17</v>
      </c>
      <c r="B290" s="8" t="s">
        <v>18</v>
      </c>
      <c r="C290" s="9" t="s">
        <v>18</v>
      </c>
      <c r="D290" s="20">
        <v>2</v>
      </c>
      <c r="E290" s="23">
        <v>2</v>
      </c>
      <c r="F290" s="8" t="s">
        <v>18</v>
      </c>
      <c r="G290" s="9" t="s">
        <v>18</v>
      </c>
      <c r="H290" s="20">
        <v>2</v>
      </c>
      <c r="I290" s="23">
        <v>2</v>
      </c>
      <c r="J290" s="60">
        <f t="shared" si="57"/>
        <v>2</v>
      </c>
      <c r="K290" s="44">
        <f>IF(A281=TRUE,J290*I281,0)</f>
        <v>0</v>
      </c>
      <c r="L290" s="1" t="s">
        <v>17</v>
      </c>
      <c r="M290" s="8" t="s">
        <v>18</v>
      </c>
      <c r="N290" s="9" t="s">
        <v>18</v>
      </c>
      <c r="O290" s="20">
        <v>2</v>
      </c>
      <c r="P290" s="23">
        <v>2</v>
      </c>
      <c r="Q290" s="8" t="s">
        <v>18</v>
      </c>
      <c r="R290" s="9" t="s">
        <v>18</v>
      </c>
      <c r="S290" s="20">
        <v>2</v>
      </c>
      <c r="T290" s="23">
        <v>2</v>
      </c>
      <c r="U290" s="60">
        <f t="shared" si="66"/>
        <v>2</v>
      </c>
      <c r="V290" s="44">
        <f>IF($A281=TRUE,U290*$I281,0)</f>
        <v>0</v>
      </c>
      <c r="W290" s="1" t="s">
        <v>17</v>
      </c>
      <c r="X290" s="8" t="s">
        <v>18</v>
      </c>
      <c r="Y290" s="9" t="s">
        <v>18</v>
      </c>
      <c r="Z290" s="20">
        <v>2</v>
      </c>
      <c r="AA290" s="23">
        <v>2</v>
      </c>
      <c r="AB290" s="8" t="s">
        <v>18</v>
      </c>
      <c r="AC290" s="9" t="s">
        <v>18</v>
      </c>
      <c r="AD290" s="20">
        <v>2</v>
      </c>
      <c r="AE290" s="23">
        <v>2</v>
      </c>
      <c r="AF290" s="60">
        <f t="shared" si="67"/>
        <v>2</v>
      </c>
      <c r="AG290" s="44">
        <f>IF($A281=TRUE,AF290*$I281,0)</f>
        <v>0</v>
      </c>
      <c r="AH290" s="1" t="s">
        <v>17</v>
      </c>
      <c r="AI290" s="8" t="s">
        <v>18</v>
      </c>
      <c r="AJ290" s="9" t="s">
        <v>18</v>
      </c>
      <c r="AK290" s="20">
        <v>2</v>
      </c>
      <c r="AL290" s="23">
        <v>2</v>
      </c>
      <c r="AM290" s="8" t="s">
        <v>18</v>
      </c>
      <c r="AN290" s="9" t="s">
        <v>18</v>
      </c>
      <c r="AO290" s="20">
        <v>2</v>
      </c>
      <c r="AP290" s="23">
        <v>2</v>
      </c>
      <c r="AQ290" s="60">
        <f t="shared" si="68"/>
        <v>2</v>
      </c>
      <c r="AR290" s="44">
        <f>IF($A281=TRUE,AQ290*$I281,0)</f>
        <v>0</v>
      </c>
      <c r="AS290" s="1" t="s">
        <v>17</v>
      </c>
      <c r="AT290" s="8" t="s">
        <v>18</v>
      </c>
      <c r="AU290" s="9" t="s">
        <v>18</v>
      </c>
      <c r="AV290" s="40">
        <v>2</v>
      </c>
      <c r="AW290" s="41">
        <v>2</v>
      </c>
      <c r="AX290" s="8" t="s">
        <v>18</v>
      </c>
      <c r="AY290" s="9" t="s">
        <v>18</v>
      </c>
      <c r="AZ290" s="40">
        <v>2</v>
      </c>
      <c r="BA290" s="41">
        <v>2</v>
      </c>
      <c r="BB290" s="60">
        <f t="shared" si="69"/>
        <v>2</v>
      </c>
      <c r="BC290" s="44">
        <f>IF($A281=TRUE,BB290*$I281,0)</f>
        <v>0</v>
      </c>
    </row>
    <row r="291" spans="1:55" x14ac:dyDescent="0.3">
      <c r="A291" s="1" t="s">
        <v>2</v>
      </c>
      <c r="B291" s="8" t="s">
        <v>18</v>
      </c>
      <c r="C291" s="9" t="s">
        <v>18</v>
      </c>
      <c r="D291" s="8" t="s">
        <v>18</v>
      </c>
      <c r="E291" s="9" t="s">
        <v>18</v>
      </c>
      <c r="F291" s="20">
        <v>2</v>
      </c>
      <c r="G291" s="23">
        <v>2</v>
      </c>
      <c r="H291" s="8" t="s">
        <v>18</v>
      </c>
      <c r="I291" s="9" t="s">
        <v>18</v>
      </c>
      <c r="J291" s="60">
        <f t="shared" si="57"/>
        <v>2</v>
      </c>
      <c r="K291" s="44">
        <f>IF(A281=TRUE,J291*I281,0)</f>
        <v>0</v>
      </c>
      <c r="L291" s="1" t="s">
        <v>2</v>
      </c>
      <c r="M291" s="8" t="s">
        <v>18</v>
      </c>
      <c r="N291" s="9" t="s">
        <v>18</v>
      </c>
      <c r="O291" s="8" t="s">
        <v>18</v>
      </c>
      <c r="P291" s="9" t="s">
        <v>18</v>
      </c>
      <c r="Q291" s="20">
        <v>2</v>
      </c>
      <c r="R291" s="23">
        <v>2</v>
      </c>
      <c r="S291" s="8" t="s">
        <v>18</v>
      </c>
      <c r="T291" s="9" t="s">
        <v>18</v>
      </c>
      <c r="U291" s="60">
        <f t="shared" si="66"/>
        <v>2</v>
      </c>
      <c r="V291" s="44">
        <f>IF($A281=TRUE,U291*$I281,0)</f>
        <v>0</v>
      </c>
      <c r="W291" s="1" t="s">
        <v>2</v>
      </c>
      <c r="X291" s="8" t="s">
        <v>18</v>
      </c>
      <c r="Y291" s="9" t="s">
        <v>18</v>
      </c>
      <c r="Z291" s="8" t="s">
        <v>18</v>
      </c>
      <c r="AA291" s="9" t="s">
        <v>18</v>
      </c>
      <c r="AB291" s="20">
        <v>2</v>
      </c>
      <c r="AC291" s="23">
        <v>2</v>
      </c>
      <c r="AD291" s="8" t="s">
        <v>18</v>
      </c>
      <c r="AE291" s="9" t="s">
        <v>18</v>
      </c>
      <c r="AF291" s="60">
        <f t="shared" si="67"/>
        <v>2</v>
      </c>
      <c r="AG291" s="44">
        <f>IF($A281=TRUE,AF291*$I281,0)</f>
        <v>0</v>
      </c>
      <c r="AH291" s="1" t="s">
        <v>2</v>
      </c>
      <c r="AI291" s="8" t="s">
        <v>18</v>
      </c>
      <c r="AJ291" s="9" t="s">
        <v>18</v>
      </c>
      <c r="AK291" s="8" t="s">
        <v>18</v>
      </c>
      <c r="AL291" s="9" t="s">
        <v>18</v>
      </c>
      <c r="AM291" s="20">
        <v>2</v>
      </c>
      <c r="AN291" s="23">
        <v>2</v>
      </c>
      <c r="AO291" s="8" t="s">
        <v>18</v>
      </c>
      <c r="AP291" s="9" t="s">
        <v>18</v>
      </c>
      <c r="AQ291" s="60">
        <f t="shared" si="68"/>
        <v>2</v>
      </c>
      <c r="AR291" s="44">
        <f>IF($A281=TRUE,AQ291*$I281,0)</f>
        <v>0</v>
      </c>
      <c r="AS291" s="1" t="s">
        <v>2</v>
      </c>
      <c r="AT291" s="8" t="s">
        <v>18</v>
      </c>
      <c r="AU291" s="9" t="s">
        <v>18</v>
      </c>
      <c r="AV291" s="8" t="s">
        <v>18</v>
      </c>
      <c r="AW291" s="9" t="s">
        <v>18</v>
      </c>
      <c r="AX291" s="8" t="s">
        <v>18</v>
      </c>
      <c r="AY291" s="9" t="s">
        <v>18</v>
      </c>
      <c r="AZ291" s="8" t="s">
        <v>18</v>
      </c>
      <c r="BA291" s="9" t="s">
        <v>18</v>
      </c>
      <c r="BB291" s="60">
        <f t="shared" si="69"/>
        <v>0</v>
      </c>
      <c r="BC291" s="44">
        <f>IF($A281=TRUE,BB291*$I281,0)</f>
        <v>0</v>
      </c>
    </row>
    <row r="292" spans="1:55" x14ac:dyDescent="0.3">
      <c r="A292" s="1" t="s">
        <v>20</v>
      </c>
      <c r="B292" s="8" t="s">
        <v>18</v>
      </c>
      <c r="C292" s="9" t="s">
        <v>18</v>
      </c>
      <c r="D292" s="20">
        <v>2</v>
      </c>
      <c r="E292" s="23">
        <v>2</v>
      </c>
      <c r="F292" s="8" t="s">
        <v>18</v>
      </c>
      <c r="G292" s="9" t="s">
        <v>18</v>
      </c>
      <c r="H292" s="14" t="s">
        <v>18</v>
      </c>
      <c r="I292" s="16">
        <v>4</v>
      </c>
      <c r="J292" s="60">
        <f t="shared" si="57"/>
        <v>4</v>
      </c>
      <c r="K292" s="44">
        <f>IF(A281=TRUE,J292*I281,0)</f>
        <v>0</v>
      </c>
      <c r="L292" s="1" t="s">
        <v>20</v>
      </c>
      <c r="M292" s="8" t="s">
        <v>18</v>
      </c>
      <c r="N292" s="9" t="s">
        <v>18</v>
      </c>
      <c r="O292" s="20">
        <v>2</v>
      </c>
      <c r="P292" s="23">
        <v>2</v>
      </c>
      <c r="Q292" s="8" t="s">
        <v>18</v>
      </c>
      <c r="R292" s="9" t="s">
        <v>18</v>
      </c>
      <c r="S292" s="14" t="s">
        <v>18</v>
      </c>
      <c r="T292" s="16">
        <v>4</v>
      </c>
      <c r="U292" s="60">
        <f t="shared" si="66"/>
        <v>4</v>
      </c>
      <c r="V292" s="44">
        <f>IF($A281=TRUE,U292*$I281,0)</f>
        <v>0</v>
      </c>
      <c r="W292" s="1" t="s">
        <v>20</v>
      </c>
      <c r="X292" s="8" t="s">
        <v>18</v>
      </c>
      <c r="Y292" s="9" t="s">
        <v>18</v>
      </c>
      <c r="Z292" s="20">
        <v>2</v>
      </c>
      <c r="AA292" s="23">
        <v>2</v>
      </c>
      <c r="AB292" s="8" t="s">
        <v>18</v>
      </c>
      <c r="AC292" s="9" t="s">
        <v>18</v>
      </c>
      <c r="AD292" s="14" t="s">
        <v>18</v>
      </c>
      <c r="AE292" s="16">
        <v>4</v>
      </c>
      <c r="AF292" s="60">
        <f t="shared" si="67"/>
        <v>4</v>
      </c>
      <c r="AG292" s="44">
        <f>IF($A281=TRUE,AF292*$I281,0)</f>
        <v>0</v>
      </c>
      <c r="AH292" s="1" t="s">
        <v>20</v>
      </c>
      <c r="AI292" s="8" t="s">
        <v>18</v>
      </c>
      <c r="AJ292" s="9" t="s">
        <v>18</v>
      </c>
      <c r="AK292" s="20">
        <v>2</v>
      </c>
      <c r="AL292" s="23">
        <v>2</v>
      </c>
      <c r="AM292" s="8" t="s">
        <v>18</v>
      </c>
      <c r="AN292" s="9" t="s">
        <v>18</v>
      </c>
      <c r="AO292" s="14" t="s">
        <v>18</v>
      </c>
      <c r="AP292" s="16">
        <v>4</v>
      </c>
      <c r="AQ292" s="60">
        <f t="shared" si="68"/>
        <v>4</v>
      </c>
      <c r="AR292" s="44">
        <f>IF($A281=TRUE,AQ292*$I281,0)</f>
        <v>0</v>
      </c>
      <c r="AS292" s="1" t="s">
        <v>20</v>
      </c>
      <c r="AT292" s="8" t="s">
        <v>18</v>
      </c>
      <c r="AU292" s="9" t="s">
        <v>18</v>
      </c>
      <c r="AV292" s="8" t="s">
        <v>18</v>
      </c>
      <c r="AW292" s="9" t="s">
        <v>18</v>
      </c>
      <c r="AX292" s="8" t="s">
        <v>18</v>
      </c>
      <c r="AY292" s="9" t="s">
        <v>18</v>
      </c>
      <c r="AZ292" s="8" t="s">
        <v>18</v>
      </c>
      <c r="BA292" s="9" t="s">
        <v>18</v>
      </c>
      <c r="BB292" s="60">
        <f t="shared" si="69"/>
        <v>0</v>
      </c>
      <c r="BC292" s="44">
        <f>IF($A281=TRUE,BB292*$I281,0)</f>
        <v>0</v>
      </c>
    </row>
    <row r="293" spans="1:55" x14ac:dyDescent="0.3">
      <c r="A293" s="1" t="s">
        <v>3</v>
      </c>
      <c r="B293" s="8" t="s">
        <v>18</v>
      </c>
      <c r="C293" s="9" t="s">
        <v>18</v>
      </c>
      <c r="D293" s="20">
        <v>2</v>
      </c>
      <c r="E293" s="23">
        <v>2</v>
      </c>
      <c r="F293" s="8" t="s">
        <v>18</v>
      </c>
      <c r="G293" s="9" t="s">
        <v>18</v>
      </c>
      <c r="H293" s="14" t="s">
        <v>18</v>
      </c>
      <c r="I293" s="15" t="s">
        <v>18</v>
      </c>
      <c r="J293" s="60">
        <f t="shared" si="57"/>
        <v>2</v>
      </c>
      <c r="K293" s="44">
        <f>IF(A281=TRUE,J293*I281,0)</f>
        <v>0</v>
      </c>
      <c r="L293" s="1" t="s">
        <v>3</v>
      </c>
      <c r="M293" s="8" t="s">
        <v>18</v>
      </c>
      <c r="N293" s="9" t="s">
        <v>18</v>
      </c>
      <c r="O293" s="20">
        <v>2</v>
      </c>
      <c r="P293" s="23">
        <v>2</v>
      </c>
      <c r="Q293" s="8" t="s">
        <v>18</v>
      </c>
      <c r="R293" s="9" t="s">
        <v>18</v>
      </c>
      <c r="S293" s="8" t="s">
        <v>18</v>
      </c>
      <c r="T293" s="9" t="s">
        <v>18</v>
      </c>
      <c r="U293" s="60">
        <f t="shared" si="66"/>
        <v>2</v>
      </c>
      <c r="V293" s="44">
        <f>IF($A281=TRUE,U293*$I281,0)</f>
        <v>0</v>
      </c>
      <c r="W293" s="1" t="s">
        <v>3</v>
      </c>
      <c r="X293" s="8" t="s">
        <v>18</v>
      </c>
      <c r="Y293" s="9" t="s">
        <v>18</v>
      </c>
      <c r="Z293" s="20">
        <v>2</v>
      </c>
      <c r="AA293" s="23">
        <v>2</v>
      </c>
      <c r="AB293" s="8" t="s">
        <v>18</v>
      </c>
      <c r="AC293" s="9" t="s">
        <v>18</v>
      </c>
      <c r="AD293" s="8" t="s">
        <v>18</v>
      </c>
      <c r="AE293" s="9" t="s">
        <v>18</v>
      </c>
      <c r="AF293" s="60">
        <f t="shared" si="67"/>
        <v>2</v>
      </c>
      <c r="AG293" s="44">
        <f>IF($A281=TRUE,AF293*$I281,0)</f>
        <v>0</v>
      </c>
      <c r="AH293" s="1" t="s">
        <v>3</v>
      </c>
      <c r="AI293" s="8" t="s">
        <v>18</v>
      </c>
      <c r="AJ293" s="9" t="s">
        <v>18</v>
      </c>
      <c r="AK293" s="20">
        <v>2</v>
      </c>
      <c r="AL293" s="23">
        <v>2</v>
      </c>
      <c r="AM293" s="8" t="s">
        <v>18</v>
      </c>
      <c r="AN293" s="9" t="s">
        <v>18</v>
      </c>
      <c r="AO293" s="8" t="s">
        <v>18</v>
      </c>
      <c r="AP293" s="9" t="s">
        <v>18</v>
      </c>
      <c r="AQ293" s="60">
        <f t="shared" si="68"/>
        <v>2</v>
      </c>
      <c r="AR293" s="44">
        <f>IF($A281=TRUE,AQ293*$I281,0)</f>
        <v>0</v>
      </c>
      <c r="AS293" s="1" t="s">
        <v>3</v>
      </c>
      <c r="AT293" s="8" t="s">
        <v>18</v>
      </c>
      <c r="AU293" s="9" t="s">
        <v>18</v>
      </c>
      <c r="AV293" s="8" t="s">
        <v>18</v>
      </c>
      <c r="AW293" s="9" t="s">
        <v>18</v>
      </c>
      <c r="AX293" s="8" t="s">
        <v>18</v>
      </c>
      <c r="AY293" s="9" t="s">
        <v>18</v>
      </c>
      <c r="AZ293" s="40">
        <v>2</v>
      </c>
      <c r="BA293" s="41">
        <v>2</v>
      </c>
      <c r="BB293" s="60">
        <f t="shared" si="69"/>
        <v>2</v>
      </c>
      <c r="BC293" s="44">
        <f>IF($A281=TRUE,BB293*$I281,0)</f>
        <v>0</v>
      </c>
    </row>
    <row r="294" spans="1:55" x14ac:dyDescent="0.3">
      <c r="A294" s="13" t="s">
        <v>12</v>
      </c>
      <c r="B294" s="14" t="s">
        <v>18</v>
      </c>
      <c r="C294" s="15" t="s">
        <v>18</v>
      </c>
      <c r="D294" s="56">
        <v>2</v>
      </c>
      <c r="E294" s="41">
        <v>2</v>
      </c>
      <c r="F294" s="14" t="s">
        <v>18</v>
      </c>
      <c r="G294" s="15" t="s">
        <v>18</v>
      </c>
      <c r="H294" s="14" t="s">
        <v>18</v>
      </c>
      <c r="I294" s="15" t="s">
        <v>18</v>
      </c>
      <c r="J294" s="60">
        <f t="shared" si="57"/>
        <v>2</v>
      </c>
      <c r="K294" s="44">
        <f>IF(A281=TRUE,J294*I281,0)</f>
        <v>0</v>
      </c>
      <c r="L294" s="13" t="s">
        <v>12</v>
      </c>
      <c r="M294" s="14" t="s">
        <v>18</v>
      </c>
      <c r="N294" s="15" t="s">
        <v>18</v>
      </c>
      <c r="O294" s="56">
        <v>2</v>
      </c>
      <c r="P294" s="41">
        <v>2</v>
      </c>
      <c r="Q294" s="14" t="s">
        <v>18</v>
      </c>
      <c r="R294" s="15" t="s">
        <v>18</v>
      </c>
      <c r="S294" s="14" t="s">
        <v>18</v>
      </c>
      <c r="T294" s="15" t="s">
        <v>18</v>
      </c>
      <c r="U294" s="60">
        <f t="shared" si="66"/>
        <v>2</v>
      </c>
      <c r="V294" s="44">
        <f>IF($A281=TRUE,U294*$I281,0)</f>
        <v>0</v>
      </c>
      <c r="W294" s="13" t="s">
        <v>12</v>
      </c>
      <c r="X294" s="14" t="s">
        <v>18</v>
      </c>
      <c r="Y294" s="15" t="s">
        <v>18</v>
      </c>
      <c r="Z294" s="56">
        <v>2</v>
      </c>
      <c r="AA294" s="41">
        <v>2</v>
      </c>
      <c r="AB294" s="14" t="s">
        <v>18</v>
      </c>
      <c r="AC294" s="15" t="s">
        <v>18</v>
      </c>
      <c r="AD294" s="14" t="s">
        <v>18</v>
      </c>
      <c r="AE294" s="15" t="s">
        <v>18</v>
      </c>
      <c r="AF294" s="60">
        <f t="shared" si="67"/>
        <v>2</v>
      </c>
      <c r="AG294" s="44">
        <f>IF($A281=TRUE,AF294*$I281,0)</f>
        <v>0</v>
      </c>
      <c r="AH294" s="13" t="s">
        <v>12</v>
      </c>
      <c r="AI294" s="14" t="s">
        <v>18</v>
      </c>
      <c r="AJ294" s="15" t="s">
        <v>18</v>
      </c>
      <c r="AK294" s="56">
        <v>2</v>
      </c>
      <c r="AL294" s="41">
        <v>2</v>
      </c>
      <c r="AM294" s="14" t="s">
        <v>18</v>
      </c>
      <c r="AN294" s="15" t="s">
        <v>18</v>
      </c>
      <c r="AO294" s="14" t="s">
        <v>18</v>
      </c>
      <c r="AP294" s="15" t="s">
        <v>18</v>
      </c>
      <c r="AQ294" s="60">
        <f t="shared" si="68"/>
        <v>2</v>
      </c>
      <c r="AR294" s="44">
        <f>IF($A281=TRUE,AQ294*$I281,0)</f>
        <v>0</v>
      </c>
      <c r="AS294" s="13" t="s">
        <v>12</v>
      </c>
      <c r="AT294" s="14" t="s">
        <v>18</v>
      </c>
      <c r="AU294" s="15" t="s">
        <v>18</v>
      </c>
      <c r="AV294" s="40">
        <v>2</v>
      </c>
      <c r="AW294" s="41">
        <v>2</v>
      </c>
      <c r="AX294" s="14" t="s">
        <v>18</v>
      </c>
      <c r="AY294" s="15" t="s">
        <v>18</v>
      </c>
      <c r="AZ294" s="40">
        <v>2</v>
      </c>
      <c r="BA294" s="41">
        <v>2</v>
      </c>
      <c r="BB294" s="60">
        <f t="shared" si="69"/>
        <v>2</v>
      </c>
      <c r="BC294" s="44">
        <f>IF($A281=TRUE,BB294*$I281,0)</f>
        <v>0</v>
      </c>
    </row>
    <row r="295" spans="1:55" x14ac:dyDescent="0.3">
      <c r="J295" s="60"/>
    </row>
    <row r="296" spans="1:55" x14ac:dyDescent="0.3">
      <c r="A296" s="4" t="s">
        <v>19</v>
      </c>
      <c r="B296" s="2"/>
      <c r="C296" s="2"/>
      <c r="D296" s="2"/>
      <c r="E296" s="2"/>
      <c r="F296" s="2"/>
      <c r="G296" s="2"/>
      <c r="H296" s="2"/>
      <c r="I296" s="2" t="s">
        <v>26</v>
      </c>
      <c r="J296" s="60"/>
    </row>
    <row r="297" spans="1:55" x14ac:dyDescent="0.3">
      <c r="A297" s="2" t="b">
        <v>0</v>
      </c>
      <c r="B297" s="2"/>
      <c r="C297" s="2"/>
      <c r="D297" s="2"/>
      <c r="E297" s="2"/>
      <c r="F297" s="2"/>
      <c r="G297" s="2"/>
      <c r="H297" s="2"/>
      <c r="I297" s="2">
        <f>F48</f>
        <v>0</v>
      </c>
      <c r="J297" s="60"/>
    </row>
    <row r="298" spans="1:55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60"/>
    </row>
    <row r="299" spans="1:55" x14ac:dyDescent="0.3">
      <c r="A299" s="10" t="s">
        <v>14</v>
      </c>
      <c r="B299" s="85" t="s">
        <v>7</v>
      </c>
      <c r="C299" s="86"/>
      <c r="D299" s="85" t="s">
        <v>10</v>
      </c>
      <c r="E299" s="86"/>
      <c r="F299" s="87" t="s">
        <v>11</v>
      </c>
      <c r="G299" s="86"/>
      <c r="H299" s="85" t="s">
        <v>13</v>
      </c>
      <c r="I299" s="86"/>
      <c r="J299" s="60"/>
      <c r="K299" s="42"/>
      <c r="L299" s="10" t="s">
        <v>14</v>
      </c>
      <c r="M299" s="85" t="s">
        <v>7</v>
      </c>
      <c r="N299" s="86"/>
      <c r="O299" s="85" t="s">
        <v>10</v>
      </c>
      <c r="P299" s="86"/>
      <c r="Q299" s="87" t="s">
        <v>11</v>
      </c>
      <c r="R299" s="86"/>
      <c r="S299" s="85" t="s">
        <v>13</v>
      </c>
      <c r="T299" s="86"/>
      <c r="U299" s="58"/>
      <c r="V299" s="42"/>
      <c r="W299" s="10" t="s">
        <v>14</v>
      </c>
      <c r="X299" s="85" t="s">
        <v>7</v>
      </c>
      <c r="Y299" s="86"/>
      <c r="Z299" s="85" t="s">
        <v>10</v>
      </c>
      <c r="AA299" s="86"/>
      <c r="AB299" s="87" t="s">
        <v>11</v>
      </c>
      <c r="AC299" s="86"/>
      <c r="AD299" s="85" t="s">
        <v>13</v>
      </c>
      <c r="AE299" s="86"/>
      <c r="AF299" s="58"/>
      <c r="AG299" s="42"/>
      <c r="AH299" s="10" t="s">
        <v>14</v>
      </c>
      <c r="AI299" s="85" t="s">
        <v>7</v>
      </c>
      <c r="AJ299" s="86"/>
      <c r="AK299" s="85" t="s">
        <v>10</v>
      </c>
      <c r="AL299" s="86"/>
      <c r="AM299" s="87" t="s">
        <v>11</v>
      </c>
      <c r="AN299" s="86"/>
      <c r="AO299" s="85" t="s">
        <v>13</v>
      </c>
      <c r="AP299" s="86"/>
      <c r="AS299" s="10" t="s">
        <v>14</v>
      </c>
      <c r="AT299" s="85" t="s">
        <v>7</v>
      </c>
      <c r="AU299" s="86"/>
      <c r="AV299" s="85" t="s">
        <v>10</v>
      </c>
      <c r="AW299" s="86"/>
      <c r="AX299" s="87" t="s">
        <v>11</v>
      </c>
      <c r="AY299" s="86"/>
      <c r="AZ299" s="85" t="s">
        <v>13</v>
      </c>
      <c r="BA299" s="86"/>
    </row>
    <row r="300" spans="1:55" ht="15" thickBot="1" x14ac:dyDescent="0.35">
      <c r="A300" s="11" t="s">
        <v>0</v>
      </c>
      <c r="B300" s="5" t="s">
        <v>8</v>
      </c>
      <c r="C300" s="6" t="s">
        <v>9</v>
      </c>
      <c r="D300" s="7" t="s">
        <v>8</v>
      </c>
      <c r="E300" s="6" t="s">
        <v>9</v>
      </c>
      <c r="F300" s="7" t="s">
        <v>8</v>
      </c>
      <c r="G300" s="6" t="s">
        <v>9</v>
      </c>
      <c r="H300" s="7" t="s">
        <v>8</v>
      </c>
      <c r="I300" s="6" t="s">
        <v>9</v>
      </c>
      <c r="J300" s="60"/>
      <c r="K300" s="43"/>
      <c r="L300" s="11" t="s">
        <v>0</v>
      </c>
      <c r="M300" s="5" t="s">
        <v>8</v>
      </c>
      <c r="N300" s="6" t="s">
        <v>9</v>
      </c>
      <c r="O300" s="7" t="s">
        <v>8</v>
      </c>
      <c r="P300" s="6" t="s">
        <v>9</v>
      </c>
      <c r="Q300" s="7" t="s">
        <v>8</v>
      </c>
      <c r="R300" s="6" t="s">
        <v>9</v>
      </c>
      <c r="S300" s="7" t="s">
        <v>8</v>
      </c>
      <c r="T300" s="6" t="s">
        <v>9</v>
      </c>
      <c r="U300" s="59"/>
      <c r="V300" s="43"/>
      <c r="W300" s="11" t="s">
        <v>0</v>
      </c>
      <c r="X300" s="5" t="s">
        <v>8</v>
      </c>
      <c r="Y300" s="6" t="s">
        <v>9</v>
      </c>
      <c r="Z300" s="7" t="s">
        <v>8</v>
      </c>
      <c r="AA300" s="6" t="s">
        <v>9</v>
      </c>
      <c r="AB300" s="7" t="s">
        <v>8</v>
      </c>
      <c r="AC300" s="6" t="s">
        <v>9</v>
      </c>
      <c r="AD300" s="7" t="s">
        <v>8</v>
      </c>
      <c r="AE300" s="6" t="s">
        <v>9</v>
      </c>
      <c r="AF300" s="59"/>
      <c r="AG300" s="43"/>
      <c r="AH300" s="11" t="s">
        <v>0</v>
      </c>
      <c r="AI300" s="5" t="s">
        <v>8</v>
      </c>
      <c r="AJ300" s="6" t="s">
        <v>9</v>
      </c>
      <c r="AK300" s="7" t="s">
        <v>8</v>
      </c>
      <c r="AL300" s="6" t="s">
        <v>9</v>
      </c>
      <c r="AM300" s="7" t="s">
        <v>8</v>
      </c>
      <c r="AN300" s="6" t="s">
        <v>9</v>
      </c>
      <c r="AO300" s="7" t="s">
        <v>8</v>
      </c>
      <c r="AP300" s="6" t="s">
        <v>9</v>
      </c>
      <c r="AS300" s="11" t="s">
        <v>0</v>
      </c>
      <c r="AT300" s="5" t="s">
        <v>8</v>
      </c>
      <c r="AU300" s="6" t="s">
        <v>9</v>
      </c>
      <c r="AV300" s="7" t="s">
        <v>8</v>
      </c>
      <c r="AW300" s="6" t="s">
        <v>9</v>
      </c>
      <c r="AX300" s="7" t="s">
        <v>8</v>
      </c>
      <c r="AY300" s="6" t="s">
        <v>9</v>
      </c>
      <c r="AZ300" s="7" t="s">
        <v>8</v>
      </c>
      <c r="BA300" s="6" t="s">
        <v>9</v>
      </c>
    </row>
    <row r="301" spans="1:55" ht="15" thickTop="1" x14ac:dyDescent="0.3">
      <c r="A301" s="1" t="s">
        <v>4</v>
      </c>
      <c r="B301" s="28">
        <v>3</v>
      </c>
      <c r="C301" s="19">
        <v>3</v>
      </c>
      <c r="D301" s="18">
        <v>3</v>
      </c>
      <c r="E301" s="23">
        <v>2</v>
      </c>
      <c r="F301" s="24">
        <v>1</v>
      </c>
      <c r="G301" s="17">
        <v>4</v>
      </c>
      <c r="H301" s="8" t="s">
        <v>18</v>
      </c>
      <c r="I301" s="9" t="s">
        <v>18</v>
      </c>
      <c r="J301" s="60">
        <f t="shared" si="57"/>
        <v>4</v>
      </c>
      <c r="K301" s="44">
        <f>IF(A297=TRUE,J301*I297,0)</f>
        <v>0</v>
      </c>
      <c r="L301" s="1" t="s">
        <v>4</v>
      </c>
      <c r="M301" s="16">
        <v>4</v>
      </c>
      <c r="N301" s="17">
        <v>4</v>
      </c>
      <c r="O301" s="18">
        <v>3</v>
      </c>
      <c r="P301" s="23">
        <v>2</v>
      </c>
      <c r="Q301" s="24">
        <v>1</v>
      </c>
      <c r="R301" s="17">
        <v>4</v>
      </c>
      <c r="S301" s="8" t="s">
        <v>18</v>
      </c>
      <c r="T301" s="9" t="s">
        <v>18</v>
      </c>
      <c r="U301" s="60">
        <f>MAX(M301:T301)</f>
        <v>4</v>
      </c>
      <c r="V301" s="44">
        <f>IF($A297=TRUE,U301*$I297,0)</f>
        <v>0</v>
      </c>
      <c r="W301" s="1" t="s">
        <v>4</v>
      </c>
      <c r="X301" s="16">
        <v>4</v>
      </c>
      <c r="Y301" s="17">
        <v>4</v>
      </c>
      <c r="Z301" s="18">
        <v>3</v>
      </c>
      <c r="AA301" s="23">
        <v>2</v>
      </c>
      <c r="AB301" s="24">
        <v>1</v>
      </c>
      <c r="AC301" s="17">
        <v>4</v>
      </c>
      <c r="AD301" s="8" t="s">
        <v>18</v>
      </c>
      <c r="AE301" s="9" t="s">
        <v>18</v>
      </c>
      <c r="AF301" s="60">
        <f>MAX(X301:AE301)</f>
        <v>4</v>
      </c>
      <c r="AG301" s="44">
        <f>IF($A297=TRUE,AF301*$I297,0)</f>
        <v>0</v>
      </c>
      <c r="AH301" s="1" t="s">
        <v>4</v>
      </c>
      <c r="AI301" s="16">
        <v>4</v>
      </c>
      <c r="AJ301" s="17">
        <v>4</v>
      </c>
      <c r="AK301" s="18">
        <v>3</v>
      </c>
      <c r="AL301" s="23">
        <v>2</v>
      </c>
      <c r="AM301" s="24">
        <v>1</v>
      </c>
      <c r="AN301" s="17">
        <v>4</v>
      </c>
      <c r="AO301" s="8" t="s">
        <v>18</v>
      </c>
      <c r="AP301" s="9" t="s">
        <v>18</v>
      </c>
      <c r="AQ301" s="60">
        <f>MAX(AI301:AP301)</f>
        <v>4</v>
      </c>
      <c r="AR301" s="44">
        <f>IF($A297=TRUE,AQ301*$I297,0)</f>
        <v>0</v>
      </c>
      <c r="AS301" s="1" t="s">
        <v>4</v>
      </c>
      <c r="AT301" s="8" t="s">
        <v>18</v>
      </c>
      <c r="AU301" s="9" t="s">
        <v>18</v>
      </c>
      <c r="AV301" s="8" t="s">
        <v>18</v>
      </c>
      <c r="AW301" s="9" t="s">
        <v>18</v>
      </c>
      <c r="AX301" s="8" t="s">
        <v>18</v>
      </c>
      <c r="AY301" s="9" t="s">
        <v>18</v>
      </c>
      <c r="AZ301" s="8" t="s">
        <v>18</v>
      </c>
      <c r="BA301" s="9" t="s">
        <v>18</v>
      </c>
      <c r="BB301" s="60">
        <f>MAX(AT301:BA301)</f>
        <v>0</v>
      </c>
      <c r="BC301" s="44">
        <f>IF($A297=TRUE,BB301*$I297,0)</f>
        <v>0</v>
      </c>
    </row>
    <row r="302" spans="1:55" x14ac:dyDescent="0.3">
      <c r="A302" s="1" t="s">
        <v>5</v>
      </c>
      <c r="B302" s="28">
        <v>4</v>
      </c>
      <c r="C302" s="19">
        <v>4</v>
      </c>
      <c r="D302" s="8" t="s">
        <v>18</v>
      </c>
      <c r="E302" s="9" t="s">
        <v>18</v>
      </c>
      <c r="F302" s="24">
        <v>1</v>
      </c>
      <c r="G302" s="23">
        <v>2</v>
      </c>
      <c r="H302" s="8" t="s">
        <v>18</v>
      </c>
      <c r="I302" s="9" t="s">
        <v>18</v>
      </c>
      <c r="J302" s="60">
        <f t="shared" si="57"/>
        <v>4</v>
      </c>
      <c r="K302" s="44">
        <f>IF(A297=TRUE,J302*I297,0)</f>
        <v>0</v>
      </c>
      <c r="L302" s="1" t="s">
        <v>5</v>
      </c>
      <c r="M302" s="16">
        <v>4</v>
      </c>
      <c r="N302" s="17">
        <v>4</v>
      </c>
      <c r="O302" s="8" t="s">
        <v>18</v>
      </c>
      <c r="P302" s="9" t="s">
        <v>18</v>
      </c>
      <c r="Q302" s="24">
        <v>1</v>
      </c>
      <c r="R302" s="23">
        <v>2</v>
      </c>
      <c r="S302" s="8" t="s">
        <v>18</v>
      </c>
      <c r="T302" s="9" t="s">
        <v>18</v>
      </c>
      <c r="U302" s="60">
        <f t="shared" ref="U302:U310" si="70">MAX(M302:T302)</f>
        <v>4</v>
      </c>
      <c r="V302" s="44">
        <f>IF($A297=TRUE,U302*$I297,0)</f>
        <v>0</v>
      </c>
      <c r="W302" s="1" t="s">
        <v>5</v>
      </c>
      <c r="X302" s="16">
        <v>4</v>
      </c>
      <c r="Y302" s="17">
        <v>4</v>
      </c>
      <c r="Z302" s="8" t="s">
        <v>18</v>
      </c>
      <c r="AA302" s="9" t="s">
        <v>18</v>
      </c>
      <c r="AB302" s="24">
        <v>1</v>
      </c>
      <c r="AC302" s="23">
        <v>2</v>
      </c>
      <c r="AD302" s="8" t="s">
        <v>18</v>
      </c>
      <c r="AE302" s="9" t="s">
        <v>18</v>
      </c>
      <c r="AF302" s="60">
        <f t="shared" ref="AF302:AF310" si="71">MAX(X302:AE302)</f>
        <v>4</v>
      </c>
      <c r="AG302" s="44">
        <f>IF($A297=TRUE,AF302*$I297,0)</f>
        <v>0</v>
      </c>
      <c r="AH302" s="1" t="s">
        <v>5</v>
      </c>
      <c r="AI302" s="16">
        <v>4</v>
      </c>
      <c r="AJ302" s="17">
        <v>4</v>
      </c>
      <c r="AK302" s="8" t="s">
        <v>18</v>
      </c>
      <c r="AL302" s="9" t="s">
        <v>18</v>
      </c>
      <c r="AM302" s="24">
        <v>1</v>
      </c>
      <c r="AN302" s="23">
        <v>2</v>
      </c>
      <c r="AO302" s="8" t="s">
        <v>18</v>
      </c>
      <c r="AP302" s="9" t="s">
        <v>18</v>
      </c>
      <c r="AQ302" s="60">
        <f t="shared" ref="AQ302:AQ310" si="72">MAX(AI302:AP302)</f>
        <v>4</v>
      </c>
      <c r="AR302" s="44">
        <f>IF($A297=TRUE,AQ302*$I297,0)</f>
        <v>0</v>
      </c>
      <c r="AS302" s="1" t="s">
        <v>5</v>
      </c>
      <c r="AT302" s="8" t="s">
        <v>18</v>
      </c>
      <c r="AU302" s="9" t="s">
        <v>18</v>
      </c>
      <c r="AV302" s="8" t="s">
        <v>18</v>
      </c>
      <c r="AW302" s="9" t="s">
        <v>18</v>
      </c>
      <c r="AX302" s="8" t="s">
        <v>18</v>
      </c>
      <c r="AY302" s="9" t="s">
        <v>18</v>
      </c>
      <c r="AZ302" s="8" t="s">
        <v>18</v>
      </c>
      <c r="BA302" s="9" t="s">
        <v>18</v>
      </c>
      <c r="BB302" s="60">
        <f t="shared" ref="BB302:BB310" si="73">MAX(AT302:BA302)</f>
        <v>0</v>
      </c>
      <c r="BC302" s="44">
        <f>IF($A297=TRUE,BB302*$I297,0)</f>
        <v>0</v>
      </c>
    </row>
    <row r="303" spans="1:55" x14ac:dyDescent="0.3">
      <c r="A303" s="1" t="s">
        <v>6</v>
      </c>
      <c r="B303" s="31">
        <v>3</v>
      </c>
      <c r="C303" s="17">
        <v>4</v>
      </c>
      <c r="D303" s="8" t="s">
        <v>18</v>
      </c>
      <c r="E303" s="9" t="s">
        <v>18</v>
      </c>
      <c r="F303" s="24">
        <v>1</v>
      </c>
      <c r="G303" s="23">
        <v>2</v>
      </c>
      <c r="H303" s="8" t="s">
        <v>18</v>
      </c>
      <c r="I303" s="9" t="s">
        <v>18</v>
      </c>
      <c r="J303" s="60">
        <f t="shared" si="57"/>
        <v>4</v>
      </c>
      <c r="K303" s="44">
        <f>IF(A297=TRUE,J303*I297,0)</f>
        <v>0</v>
      </c>
      <c r="L303" s="1" t="s">
        <v>6</v>
      </c>
      <c r="M303" s="31">
        <v>3</v>
      </c>
      <c r="N303" s="17">
        <v>4</v>
      </c>
      <c r="O303" s="8" t="s">
        <v>18</v>
      </c>
      <c r="P303" s="9" t="s">
        <v>18</v>
      </c>
      <c r="Q303" s="24">
        <v>1</v>
      </c>
      <c r="R303" s="23">
        <v>2</v>
      </c>
      <c r="S303" s="8" t="s">
        <v>18</v>
      </c>
      <c r="T303" s="9" t="s">
        <v>18</v>
      </c>
      <c r="U303" s="60">
        <f t="shared" si="70"/>
        <v>4</v>
      </c>
      <c r="V303" s="44">
        <f>IF($A297=TRUE,U303*$I297,0)</f>
        <v>0</v>
      </c>
      <c r="W303" s="1" t="s">
        <v>6</v>
      </c>
      <c r="X303" s="31">
        <v>3</v>
      </c>
      <c r="Y303" s="17">
        <v>4</v>
      </c>
      <c r="Z303" s="8" t="s">
        <v>18</v>
      </c>
      <c r="AA303" s="9" t="s">
        <v>18</v>
      </c>
      <c r="AB303" s="24">
        <v>1</v>
      </c>
      <c r="AC303" s="23">
        <v>2</v>
      </c>
      <c r="AD303" s="8" t="s">
        <v>18</v>
      </c>
      <c r="AE303" s="9" t="s">
        <v>18</v>
      </c>
      <c r="AF303" s="60">
        <f t="shared" si="71"/>
        <v>4</v>
      </c>
      <c r="AG303" s="44">
        <f>IF($A297=TRUE,AF303*$I297,0)</f>
        <v>0</v>
      </c>
      <c r="AH303" s="1" t="s">
        <v>6</v>
      </c>
      <c r="AI303" s="31">
        <v>3</v>
      </c>
      <c r="AJ303" s="17">
        <v>4</v>
      </c>
      <c r="AK303" s="8" t="s">
        <v>18</v>
      </c>
      <c r="AL303" s="9" t="s">
        <v>18</v>
      </c>
      <c r="AM303" s="24">
        <v>1</v>
      </c>
      <c r="AN303" s="23">
        <v>2</v>
      </c>
      <c r="AO303" s="8" t="s">
        <v>18</v>
      </c>
      <c r="AP303" s="9" t="s">
        <v>18</v>
      </c>
      <c r="AQ303" s="60">
        <f t="shared" si="72"/>
        <v>4</v>
      </c>
      <c r="AR303" s="44">
        <f>IF($A297=TRUE,AQ303*$I297,0)</f>
        <v>0</v>
      </c>
      <c r="AS303" s="1" t="s">
        <v>6</v>
      </c>
      <c r="AT303" s="8" t="s">
        <v>18</v>
      </c>
      <c r="AU303" s="9" t="s">
        <v>18</v>
      </c>
      <c r="AV303" s="8" t="s">
        <v>18</v>
      </c>
      <c r="AW303" s="9" t="s">
        <v>18</v>
      </c>
      <c r="AX303" s="8" t="s">
        <v>18</v>
      </c>
      <c r="AY303" s="9" t="s">
        <v>18</v>
      </c>
      <c r="AZ303" s="8" t="s">
        <v>18</v>
      </c>
      <c r="BA303" s="9" t="s">
        <v>18</v>
      </c>
      <c r="BB303" s="60">
        <f t="shared" si="73"/>
        <v>0</v>
      </c>
      <c r="BC303" s="44">
        <f>IF($A297=TRUE,BB303*$I297,0)</f>
        <v>0</v>
      </c>
    </row>
    <row r="304" spans="1:55" x14ac:dyDescent="0.3">
      <c r="A304" s="1" t="s">
        <v>1</v>
      </c>
      <c r="B304" s="8" t="s">
        <v>18</v>
      </c>
      <c r="C304" s="9" t="s">
        <v>18</v>
      </c>
      <c r="D304" s="8" t="s">
        <v>18</v>
      </c>
      <c r="E304" s="9" t="s">
        <v>18</v>
      </c>
      <c r="F304" s="8" t="s">
        <v>18</v>
      </c>
      <c r="G304" s="9" t="s">
        <v>18</v>
      </c>
      <c r="H304" s="29">
        <v>2</v>
      </c>
      <c r="I304" s="23">
        <v>2</v>
      </c>
      <c r="J304" s="60">
        <f t="shared" si="57"/>
        <v>2</v>
      </c>
      <c r="K304" s="44">
        <f>IF(A297=TRUE,J304*I297,0)</f>
        <v>0</v>
      </c>
      <c r="L304" s="1" t="s">
        <v>1</v>
      </c>
      <c r="M304" s="8" t="s">
        <v>18</v>
      </c>
      <c r="N304" s="9" t="s">
        <v>18</v>
      </c>
      <c r="O304" s="8" t="s">
        <v>18</v>
      </c>
      <c r="P304" s="9" t="s">
        <v>18</v>
      </c>
      <c r="Q304" s="8" t="s">
        <v>18</v>
      </c>
      <c r="R304" s="9" t="s">
        <v>18</v>
      </c>
      <c r="S304" s="20">
        <v>2</v>
      </c>
      <c r="T304" s="23">
        <v>2</v>
      </c>
      <c r="U304" s="60">
        <f t="shared" si="70"/>
        <v>2</v>
      </c>
      <c r="V304" s="44">
        <f>IF($A297=TRUE,U304*$I297,0)</f>
        <v>0</v>
      </c>
      <c r="W304" s="1" t="s">
        <v>1</v>
      </c>
      <c r="X304" s="8" t="s">
        <v>18</v>
      </c>
      <c r="Y304" s="9" t="s">
        <v>18</v>
      </c>
      <c r="Z304" s="8" t="s">
        <v>18</v>
      </c>
      <c r="AA304" s="9" t="s">
        <v>18</v>
      </c>
      <c r="AB304" s="8" t="s">
        <v>18</v>
      </c>
      <c r="AC304" s="9" t="s">
        <v>18</v>
      </c>
      <c r="AD304" s="20">
        <v>2</v>
      </c>
      <c r="AE304" s="23">
        <v>2</v>
      </c>
      <c r="AF304" s="60">
        <f t="shared" si="71"/>
        <v>2</v>
      </c>
      <c r="AG304" s="44">
        <f>IF($A297=TRUE,AF304*$I297,0)</f>
        <v>0</v>
      </c>
      <c r="AH304" s="1" t="s">
        <v>1</v>
      </c>
      <c r="AI304" s="8" t="s">
        <v>18</v>
      </c>
      <c r="AJ304" s="9" t="s">
        <v>18</v>
      </c>
      <c r="AK304" s="8" t="s">
        <v>18</v>
      </c>
      <c r="AL304" s="9" t="s">
        <v>18</v>
      </c>
      <c r="AM304" s="8" t="s">
        <v>18</v>
      </c>
      <c r="AN304" s="9" t="s">
        <v>18</v>
      </c>
      <c r="AO304" s="27">
        <v>5</v>
      </c>
      <c r="AP304" s="48">
        <v>4</v>
      </c>
      <c r="AQ304" s="60">
        <f t="shared" si="72"/>
        <v>5</v>
      </c>
      <c r="AR304" s="44">
        <f>IF($A297=TRUE,AQ304*$I297,0)</f>
        <v>0</v>
      </c>
      <c r="AS304" s="1" t="s">
        <v>1</v>
      </c>
      <c r="AT304" s="8" t="s">
        <v>18</v>
      </c>
      <c r="AU304" s="9" t="s">
        <v>18</v>
      </c>
      <c r="AV304" s="8" t="s">
        <v>18</v>
      </c>
      <c r="AW304" s="9" t="s">
        <v>18</v>
      </c>
      <c r="AX304" s="8" t="s">
        <v>18</v>
      </c>
      <c r="AY304" s="9" t="s">
        <v>18</v>
      </c>
      <c r="AZ304" s="8" t="s">
        <v>18</v>
      </c>
      <c r="BA304" s="9" t="s">
        <v>18</v>
      </c>
      <c r="BB304" s="60">
        <f t="shared" si="73"/>
        <v>0</v>
      </c>
      <c r="BC304" s="44">
        <f>IF($A297=TRUE,BB304*$I297,0)</f>
        <v>0</v>
      </c>
    </row>
    <row r="305" spans="1:61" x14ac:dyDescent="0.3">
      <c r="A305" s="1" t="s">
        <v>16</v>
      </c>
      <c r="B305" s="8" t="s">
        <v>18</v>
      </c>
      <c r="C305" s="9" t="s">
        <v>18</v>
      </c>
      <c r="D305" s="8" t="s">
        <v>18</v>
      </c>
      <c r="E305" s="9" t="s">
        <v>18</v>
      </c>
      <c r="F305" s="8" t="s">
        <v>18</v>
      </c>
      <c r="G305" s="23">
        <v>2</v>
      </c>
      <c r="H305" s="8" t="s">
        <v>18</v>
      </c>
      <c r="I305" s="23">
        <v>2</v>
      </c>
      <c r="J305" s="60">
        <f t="shared" si="57"/>
        <v>2</v>
      </c>
      <c r="K305" s="44">
        <f>IF(A297=TRUE,J305*I297,0)</f>
        <v>0</v>
      </c>
      <c r="L305" s="1" t="s">
        <v>16</v>
      </c>
      <c r="M305" s="8" t="s">
        <v>18</v>
      </c>
      <c r="N305" s="9" t="s">
        <v>18</v>
      </c>
      <c r="O305" s="8" t="s">
        <v>18</v>
      </c>
      <c r="P305" s="9" t="s">
        <v>18</v>
      </c>
      <c r="Q305" s="8" t="s">
        <v>18</v>
      </c>
      <c r="R305" s="23">
        <v>2</v>
      </c>
      <c r="S305" s="8" t="s">
        <v>18</v>
      </c>
      <c r="T305" s="23">
        <v>2</v>
      </c>
      <c r="U305" s="60">
        <f t="shared" si="70"/>
        <v>2</v>
      </c>
      <c r="V305" s="44">
        <f>IF($A297=TRUE,U305*$I297,0)</f>
        <v>0</v>
      </c>
      <c r="W305" s="1" t="s">
        <v>16</v>
      </c>
      <c r="X305" s="8" t="s">
        <v>18</v>
      </c>
      <c r="Y305" s="9" t="s">
        <v>18</v>
      </c>
      <c r="Z305" s="8" t="s">
        <v>18</v>
      </c>
      <c r="AA305" s="9" t="s">
        <v>18</v>
      </c>
      <c r="AB305" s="8" t="s">
        <v>18</v>
      </c>
      <c r="AC305" s="23">
        <v>2</v>
      </c>
      <c r="AD305" s="8" t="s">
        <v>18</v>
      </c>
      <c r="AE305" s="23">
        <v>2</v>
      </c>
      <c r="AF305" s="60">
        <f t="shared" si="71"/>
        <v>2</v>
      </c>
      <c r="AG305" s="44">
        <f>IF($A297=TRUE,AF305*$I297,0)</f>
        <v>0</v>
      </c>
      <c r="AH305" s="1" t="s">
        <v>16</v>
      </c>
      <c r="AI305" s="8" t="s">
        <v>18</v>
      </c>
      <c r="AJ305" s="9" t="s">
        <v>18</v>
      </c>
      <c r="AK305" s="8" t="s">
        <v>18</v>
      </c>
      <c r="AL305" s="9" t="s">
        <v>18</v>
      </c>
      <c r="AM305" s="8" t="s">
        <v>18</v>
      </c>
      <c r="AN305" s="23">
        <v>2</v>
      </c>
      <c r="AO305" s="8" t="s">
        <v>18</v>
      </c>
      <c r="AP305" s="23">
        <v>2</v>
      </c>
      <c r="AQ305" s="60">
        <f t="shared" si="72"/>
        <v>2</v>
      </c>
      <c r="AR305" s="44">
        <f>IF($A297=TRUE,AQ305*$I297,0)</f>
        <v>0</v>
      </c>
      <c r="AS305" s="1" t="s">
        <v>16</v>
      </c>
      <c r="AT305" s="8" t="s">
        <v>18</v>
      </c>
      <c r="AU305" s="9" t="s">
        <v>18</v>
      </c>
      <c r="AV305" s="8" t="s">
        <v>18</v>
      </c>
      <c r="AW305" s="9" t="s">
        <v>18</v>
      </c>
      <c r="AX305" s="8" t="s">
        <v>18</v>
      </c>
      <c r="AY305" s="9" t="s">
        <v>18</v>
      </c>
      <c r="AZ305" s="8" t="s">
        <v>18</v>
      </c>
      <c r="BA305" s="9" t="s">
        <v>18</v>
      </c>
      <c r="BB305" s="60">
        <f t="shared" si="73"/>
        <v>0</v>
      </c>
      <c r="BC305" s="44">
        <f>IF($A297=TRUE,BB305*$I297,0)</f>
        <v>0</v>
      </c>
    </row>
    <row r="306" spans="1:61" x14ac:dyDescent="0.3">
      <c r="A306" s="1" t="s">
        <v>17</v>
      </c>
      <c r="B306" s="8" t="s">
        <v>18</v>
      </c>
      <c r="C306" s="9" t="s">
        <v>18</v>
      </c>
      <c r="D306" s="29">
        <v>2</v>
      </c>
      <c r="E306" s="23">
        <v>2</v>
      </c>
      <c r="F306" s="8" t="s">
        <v>18</v>
      </c>
      <c r="G306" s="9" t="s">
        <v>18</v>
      </c>
      <c r="H306" s="29">
        <v>2</v>
      </c>
      <c r="I306" s="23">
        <v>2</v>
      </c>
      <c r="J306" s="60">
        <f t="shared" si="57"/>
        <v>2</v>
      </c>
      <c r="K306" s="44">
        <f>IF(A297=TRUE,J306*I297,0)</f>
        <v>0</v>
      </c>
      <c r="L306" s="1" t="s">
        <v>17</v>
      </c>
      <c r="M306" s="8" t="s">
        <v>18</v>
      </c>
      <c r="N306" s="9" t="s">
        <v>18</v>
      </c>
      <c r="O306" s="28">
        <v>3</v>
      </c>
      <c r="P306" s="19">
        <v>3</v>
      </c>
      <c r="Q306" s="8" t="s">
        <v>18</v>
      </c>
      <c r="R306" s="9" t="s">
        <v>18</v>
      </c>
      <c r="S306" s="29">
        <v>2</v>
      </c>
      <c r="T306" s="23">
        <v>2</v>
      </c>
      <c r="U306" s="60">
        <f t="shared" si="70"/>
        <v>3</v>
      </c>
      <c r="V306" s="44">
        <f>IF($A297=TRUE,U306*$I297,0)</f>
        <v>0</v>
      </c>
      <c r="W306" s="1" t="s">
        <v>17</v>
      </c>
      <c r="X306" s="8" t="s">
        <v>18</v>
      </c>
      <c r="Y306" s="9" t="s">
        <v>18</v>
      </c>
      <c r="Z306" s="28">
        <v>3</v>
      </c>
      <c r="AA306" s="19">
        <v>3</v>
      </c>
      <c r="AB306" s="8" t="s">
        <v>18</v>
      </c>
      <c r="AC306" s="9" t="s">
        <v>18</v>
      </c>
      <c r="AD306" s="29">
        <v>2</v>
      </c>
      <c r="AE306" s="23">
        <v>2</v>
      </c>
      <c r="AF306" s="60">
        <f t="shared" si="71"/>
        <v>3</v>
      </c>
      <c r="AG306" s="44">
        <f>IF($A297=TRUE,AF306*$I297,0)</f>
        <v>0</v>
      </c>
      <c r="AH306" s="1" t="s">
        <v>17</v>
      </c>
      <c r="AI306" s="8" t="s">
        <v>18</v>
      </c>
      <c r="AJ306" s="9" t="s">
        <v>18</v>
      </c>
      <c r="AK306" s="28">
        <v>3</v>
      </c>
      <c r="AL306" s="19">
        <v>3</v>
      </c>
      <c r="AM306" s="8" t="s">
        <v>18</v>
      </c>
      <c r="AN306" s="9" t="s">
        <v>18</v>
      </c>
      <c r="AO306" s="29">
        <v>2</v>
      </c>
      <c r="AP306" s="23">
        <v>2</v>
      </c>
      <c r="AQ306" s="60">
        <f t="shared" si="72"/>
        <v>3</v>
      </c>
      <c r="AR306" s="44">
        <f>IF($A297=TRUE,AQ306*$I297,0)</f>
        <v>0</v>
      </c>
      <c r="AS306" s="1" t="s">
        <v>17</v>
      </c>
      <c r="AT306" s="8" t="s">
        <v>18</v>
      </c>
      <c r="AU306" s="9" t="s">
        <v>18</v>
      </c>
      <c r="AV306" s="28">
        <v>3</v>
      </c>
      <c r="AW306" s="19">
        <v>3</v>
      </c>
      <c r="AX306" s="8" t="s">
        <v>18</v>
      </c>
      <c r="AY306" s="9" t="s">
        <v>18</v>
      </c>
      <c r="AZ306" s="29">
        <v>2</v>
      </c>
      <c r="BA306" s="23">
        <v>2</v>
      </c>
      <c r="BB306" s="60">
        <f t="shared" si="73"/>
        <v>3</v>
      </c>
      <c r="BC306" s="44">
        <f>IF($A297=TRUE,BB306*$I297,0)</f>
        <v>0</v>
      </c>
    </row>
    <row r="307" spans="1:61" x14ac:dyDescent="0.3">
      <c r="A307" s="1" t="s">
        <v>2</v>
      </c>
      <c r="B307" s="16">
        <v>4</v>
      </c>
      <c r="C307" s="17">
        <v>4</v>
      </c>
      <c r="D307" s="8" t="s">
        <v>18</v>
      </c>
      <c r="E307" s="9" t="s">
        <v>18</v>
      </c>
      <c r="F307" s="24">
        <v>1</v>
      </c>
      <c r="G307" s="19">
        <v>3</v>
      </c>
      <c r="H307" s="8" t="s">
        <v>18</v>
      </c>
      <c r="I307" s="9" t="s">
        <v>18</v>
      </c>
      <c r="J307" s="60">
        <f t="shared" si="57"/>
        <v>4</v>
      </c>
      <c r="K307" s="44">
        <f>IF(A297=TRUE,J307*I297,0)</f>
        <v>0</v>
      </c>
      <c r="L307" s="1" t="s">
        <v>2</v>
      </c>
      <c r="M307" s="16">
        <v>4</v>
      </c>
      <c r="N307" s="17">
        <v>4</v>
      </c>
      <c r="O307" s="8" t="s">
        <v>18</v>
      </c>
      <c r="P307" s="9" t="s">
        <v>18</v>
      </c>
      <c r="Q307" s="24">
        <v>1</v>
      </c>
      <c r="R307" s="19">
        <v>3</v>
      </c>
      <c r="S307" s="8" t="s">
        <v>18</v>
      </c>
      <c r="T307" s="9" t="s">
        <v>18</v>
      </c>
      <c r="U307" s="60">
        <f t="shared" si="70"/>
        <v>4</v>
      </c>
      <c r="V307" s="44">
        <f>IF($A297=TRUE,U307*$I297,0)</f>
        <v>0</v>
      </c>
      <c r="W307" s="1" t="s">
        <v>2</v>
      </c>
      <c r="X307" s="16">
        <v>4</v>
      </c>
      <c r="Y307" s="17">
        <v>4</v>
      </c>
      <c r="Z307" s="8" t="s">
        <v>18</v>
      </c>
      <c r="AA307" s="9" t="s">
        <v>18</v>
      </c>
      <c r="AB307" s="24">
        <v>1</v>
      </c>
      <c r="AC307" s="19">
        <v>3</v>
      </c>
      <c r="AD307" s="8" t="s">
        <v>18</v>
      </c>
      <c r="AE307" s="9" t="s">
        <v>18</v>
      </c>
      <c r="AF307" s="60">
        <f t="shared" si="71"/>
        <v>4</v>
      </c>
      <c r="AG307" s="44">
        <f>IF($A297=TRUE,AF307*$I297,0)</f>
        <v>0</v>
      </c>
      <c r="AH307" s="1" t="s">
        <v>2</v>
      </c>
      <c r="AI307" s="16">
        <v>4</v>
      </c>
      <c r="AJ307" s="17">
        <v>4</v>
      </c>
      <c r="AK307" s="8" t="s">
        <v>18</v>
      </c>
      <c r="AL307" s="9" t="s">
        <v>18</v>
      </c>
      <c r="AM307" s="24">
        <v>1</v>
      </c>
      <c r="AN307" s="19">
        <v>3</v>
      </c>
      <c r="AO307" s="8" t="s">
        <v>18</v>
      </c>
      <c r="AP307" s="9" t="s">
        <v>18</v>
      </c>
      <c r="AQ307" s="60">
        <f t="shared" si="72"/>
        <v>4</v>
      </c>
      <c r="AR307" s="44">
        <f>IF($A297=TRUE,AQ307*$I297,0)</f>
        <v>0</v>
      </c>
      <c r="AS307" s="1" t="s">
        <v>2</v>
      </c>
      <c r="AT307" s="8" t="s">
        <v>18</v>
      </c>
      <c r="AU307" s="9" t="s">
        <v>18</v>
      </c>
      <c r="AV307" s="8" t="s">
        <v>18</v>
      </c>
      <c r="AW307" s="9" t="s">
        <v>18</v>
      </c>
      <c r="AX307" s="8" t="s">
        <v>18</v>
      </c>
      <c r="AY307" s="9" t="s">
        <v>18</v>
      </c>
      <c r="AZ307" s="8" t="s">
        <v>18</v>
      </c>
      <c r="BA307" s="9" t="s">
        <v>18</v>
      </c>
      <c r="BB307" s="60">
        <f t="shared" si="73"/>
        <v>0</v>
      </c>
      <c r="BC307" s="44">
        <f>IF($A297=TRUE,BB307*$I297,0)</f>
        <v>0</v>
      </c>
    </row>
    <row r="308" spans="1:61" x14ac:dyDescent="0.3">
      <c r="A308" s="1" t="s">
        <v>20</v>
      </c>
      <c r="B308" s="8" t="s">
        <v>18</v>
      </c>
      <c r="C308" s="9" t="s">
        <v>18</v>
      </c>
      <c r="D308" s="12" t="s">
        <v>18</v>
      </c>
      <c r="E308" s="26">
        <v>5</v>
      </c>
      <c r="F308" s="8" t="s">
        <v>18</v>
      </c>
      <c r="G308" s="9" t="s">
        <v>18</v>
      </c>
      <c r="H308" s="12" t="s">
        <v>18</v>
      </c>
      <c r="I308" s="26">
        <v>5</v>
      </c>
      <c r="J308" s="60">
        <f t="shared" si="57"/>
        <v>5</v>
      </c>
      <c r="K308" s="44">
        <f>IF(A297=TRUE,J308*I297,0)</f>
        <v>0</v>
      </c>
      <c r="L308" s="1" t="s">
        <v>20</v>
      </c>
      <c r="M308" s="8" t="s">
        <v>18</v>
      </c>
      <c r="N308" s="9" t="s">
        <v>18</v>
      </c>
      <c r="O308" s="12" t="s">
        <v>18</v>
      </c>
      <c r="P308" s="26">
        <v>5</v>
      </c>
      <c r="Q308" s="8" t="s">
        <v>18</v>
      </c>
      <c r="R308" s="9" t="s">
        <v>18</v>
      </c>
      <c r="S308" s="12" t="s">
        <v>18</v>
      </c>
      <c r="T308" s="26">
        <v>5</v>
      </c>
      <c r="U308" s="60">
        <f t="shared" si="70"/>
        <v>5</v>
      </c>
      <c r="V308" s="44">
        <f>IF($A297=TRUE,U308*$I297,0)</f>
        <v>0</v>
      </c>
      <c r="W308" s="1" t="s">
        <v>20</v>
      </c>
      <c r="X308" s="8" t="s">
        <v>18</v>
      </c>
      <c r="Y308" s="9" t="s">
        <v>18</v>
      </c>
      <c r="Z308" s="12" t="s">
        <v>18</v>
      </c>
      <c r="AA308" s="26">
        <v>5</v>
      </c>
      <c r="AB308" s="8" t="s">
        <v>18</v>
      </c>
      <c r="AC308" s="9" t="s">
        <v>18</v>
      </c>
      <c r="AD308" s="12" t="s">
        <v>18</v>
      </c>
      <c r="AE308" s="26">
        <v>5</v>
      </c>
      <c r="AF308" s="60">
        <f t="shared" si="71"/>
        <v>5</v>
      </c>
      <c r="AG308" s="44">
        <f>IF($A297=TRUE,AF308*$I297,0)</f>
        <v>0</v>
      </c>
      <c r="AH308" s="1" t="s">
        <v>20</v>
      </c>
      <c r="AI308" s="8" t="s">
        <v>18</v>
      </c>
      <c r="AJ308" s="9" t="s">
        <v>18</v>
      </c>
      <c r="AK308" s="12" t="s">
        <v>18</v>
      </c>
      <c r="AL308" s="26">
        <v>5</v>
      </c>
      <c r="AM308" s="8" t="s">
        <v>18</v>
      </c>
      <c r="AN308" s="9" t="s">
        <v>18</v>
      </c>
      <c r="AO308" s="12" t="s">
        <v>18</v>
      </c>
      <c r="AP308" s="26">
        <v>5</v>
      </c>
      <c r="AQ308" s="60">
        <f t="shared" si="72"/>
        <v>5</v>
      </c>
      <c r="AR308" s="44">
        <f>IF($A297=TRUE,AQ308*$I297,0)</f>
        <v>0</v>
      </c>
      <c r="AS308" s="1" t="s">
        <v>20</v>
      </c>
      <c r="AT308" s="8" t="s">
        <v>18</v>
      </c>
      <c r="AU308" s="9" t="s">
        <v>18</v>
      </c>
      <c r="AV308" s="8" t="s">
        <v>18</v>
      </c>
      <c r="AW308" s="9" t="s">
        <v>18</v>
      </c>
      <c r="AX308" s="8" t="s">
        <v>18</v>
      </c>
      <c r="AY308" s="9" t="s">
        <v>18</v>
      </c>
      <c r="AZ308" s="8" t="s">
        <v>18</v>
      </c>
      <c r="BA308" s="9" t="s">
        <v>18</v>
      </c>
      <c r="BB308" s="60">
        <f t="shared" si="73"/>
        <v>0</v>
      </c>
      <c r="BC308" s="44">
        <f>IF($A297=TRUE,BB308*$I297,0)</f>
        <v>0</v>
      </c>
    </row>
    <row r="309" spans="1:61" x14ac:dyDescent="0.3">
      <c r="A309" s="1" t="s">
        <v>3</v>
      </c>
      <c r="B309" s="8" t="s">
        <v>18</v>
      </c>
      <c r="C309" s="9" t="s">
        <v>18</v>
      </c>
      <c r="D309" s="29">
        <v>2</v>
      </c>
      <c r="E309" s="22">
        <v>1</v>
      </c>
      <c r="F309" s="8" t="s">
        <v>18</v>
      </c>
      <c r="G309" s="9" t="s">
        <v>18</v>
      </c>
      <c r="H309" s="12" t="s">
        <v>18</v>
      </c>
      <c r="I309" s="9" t="s">
        <v>18</v>
      </c>
      <c r="J309" s="60">
        <f t="shared" si="57"/>
        <v>2</v>
      </c>
      <c r="K309" s="44">
        <f>IF(A297=TRUE,J309*I297,0)</f>
        <v>0</v>
      </c>
      <c r="L309" s="1" t="s">
        <v>3</v>
      </c>
      <c r="M309" s="8" t="s">
        <v>18</v>
      </c>
      <c r="N309" s="9" t="s">
        <v>18</v>
      </c>
      <c r="O309" s="28">
        <v>3</v>
      </c>
      <c r="P309" s="22">
        <v>1</v>
      </c>
      <c r="Q309" s="8" t="s">
        <v>18</v>
      </c>
      <c r="R309" s="9" t="s">
        <v>18</v>
      </c>
      <c r="S309" s="12" t="s">
        <v>18</v>
      </c>
      <c r="T309" s="9" t="s">
        <v>18</v>
      </c>
      <c r="U309" s="60">
        <f t="shared" si="70"/>
        <v>3</v>
      </c>
      <c r="V309" s="44">
        <f>IF($A297=TRUE,U309*$I297,0)</f>
        <v>0</v>
      </c>
      <c r="W309" s="1" t="s">
        <v>3</v>
      </c>
      <c r="X309" s="8" t="s">
        <v>18</v>
      </c>
      <c r="Y309" s="9" t="s">
        <v>18</v>
      </c>
      <c r="Z309" s="16">
        <v>4</v>
      </c>
      <c r="AA309" s="22">
        <v>1</v>
      </c>
      <c r="AB309" s="8" t="s">
        <v>18</v>
      </c>
      <c r="AC309" s="9" t="s">
        <v>18</v>
      </c>
      <c r="AD309" s="12" t="s">
        <v>18</v>
      </c>
      <c r="AE309" s="9" t="s">
        <v>18</v>
      </c>
      <c r="AF309" s="60">
        <f t="shared" si="71"/>
        <v>4</v>
      </c>
      <c r="AG309" s="44">
        <f>IF($A297=TRUE,AF309*$I297,0)</f>
        <v>0</v>
      </c>
      <c r="AH309" s="1" t="s">
        <v>3</v>
      </c>
      <c r="AI309" s="8" t="s">
        <v>18</v>
      </c>
      <c r="AJ309" s="9" t="s">
        <v>18</v>
      </c>
      <c r="AK309" s="16">
        <v>4</v>
      </c>
      <c r="AL309" s="22">
        <v>1</v>
      </c>
      <c r="AM309" s="8" t="s">
        <v>18</v>
      </c>
      <c r="AN309" s="9" t="s">
        <v>18</v>
      </c>
      <c r="AO309" s="12" t="s">
        <v>18</v>
      </c>
      <c r="AP309" s="9" t="s">
        <v>18</v>
      </c>
      <c r="AQ309" s="60">
        <f t="shared" si="72"/>
        <v>4</v>
      </c>
      <c r="AR309" s="44">
        <f>IF($A297=TRUE,AQ309*$I297,0)</f>
        <v>0</v>
      </c>
      <c r="AS309" s="1" t="s">
        <v>3</v>
      </c>
      <c r="AT309" s="8" t="s">
        <v>18</v>
      </c>
      <c r="AU309" s="9" t="s">
        <v>18</v>
      </c>
      <c r="AV309" s="8" t="s">
        <v>18</v>
      </c>
      <c r="AW309" s="9" t="s">
        <v>18</v>
      </c>
      <c r="AX309" s="8" t="s">
        <v>18</v>
      </c>
      <c r="AY309" s="9" t="s">
        <v>18</v>
      </c>
      <c r="AZ309" s="40">
        <v>2</v>
      </c>
      <c r="BA309" s="41">
        <v>2</v>
      </c>
      <c r="BB309" s="60">
        <f t="shared" si="73"/>
        <v>2</v>
      </c>
      <c r="BC309" s="44">
        <f>IF($A297=TRUE,BB309*$I297,0)</f>
        <v>0</v>
      </c>
    </row>
    <row r="310" spans="1:61" s="37" customFormat="1" x14ac:dyDescent="0.3">
      <c r="A310" s="13" t="s">
        <v>12</v>
      </c>
      <c r="B310" s="14" t="s">
        <v>18</v>
      </c>
      <c r="C310" s="15" t="s">
        <v>18</v>
      </c>
      <c r="D310" s="40">
        <v>2</v>
      </c>
      <c r="E310" s="41">
        <v>2</v>
      </c>
      <c r="F310" s="14" t="s">
        <v>18</v>
      </c>
      <c r="G310" s="15" t="s">
        <v>18</v>
      </c>
      <c r="H310" s="14" t="s">
        <v>18</v>
      </c>
      <c r="I310" s="15" t="s">
        <v>18</v>
      </c>
      <c r="J310" s="61">
        <f t="shared" si="57"/>
        <v>2</v>
      </c>
      <c r="K310" s="62">
        <f>IF(A297=TRUE,J310*I297,0)</f>
        <v>0</v>
      </c>
      <c r="L310" s="13" t="s">
        <v>12</v>
      </c>
      <c r="M310" s="14" t="s">
        <v>18</v>
      </c>
      <c r="N310" s="15" t="s">
        <v>18</v>
      </c>
      <c r="O310" s="30">
        <v>3</v>
      </c>
      <c r="P310" s="32">
        <v>3</v>
      </c>
      <c r="Q310" s="14" t="s">
        <v>18</v>
      </c>
      <c r="R310" s="15" t="s">
        <v>18</v>
      </c>
      <c r="S310" s="14" t="s">
        <v>18</v>
      </c>
      <c r="T310" s="15" t="s">
        <v>18</v>
      </c>
      <c r="U310" s="61">
        <f t="shared" si="70"/>
        <v>3</v>
      </c>
      <c r="V310" s="62">
        <f>IF($A297=TRUE,U310*$I297,0)</f>
        <v>0</v>
      </c>
      <c r="W310" s="13" t="s">
        <v>12</v>
      </c>
      <c r="X310" s="14" t="s">
        <v>18</v>
      </c>
      <c r="Y310" s="15" t="s">
        <v>18</v>
      </c>
      <c r="Z310" s="30">
        <v>3</v>
      </c>
      <c r="AA310" s="32">
        <v>3</v>
      </c>
      <c r="AB310" s="14" t="s">
        <v>18</v>
      </c>
      <c r="AC310" s="15" t="s">
        <v>18</v>
      </c>
      <c r="AD310" s="14" t="s">
        <v>18</v>
      </c>
      <c r="AE310" s="15" t="s">
        <v>18</v>
      </c>
      <c r="AF310" s="61">
        <f t="shared" si="71"/>
        <v>3</v>
      </c>
      <c r="AG310" s="62">
        <f>IF($A297=TRUE,AF310*$I297,0)</f>
        <v>0</v>
      </c>
      <c r="AH310" s="13" t="s">
        <v>12</v>
      </c>
      <c r="AI310" s="14" t="s">
        <v>18</v>
      </c>
      <c r="AJ310" s="15" t="s">
        <v>18</v>
      </c>
      <c r="AK310" s="30">
        <v>3</v>
      </c>
      <c r="AL310" s="32">
        <v>3</v>
      </c>
      <c r="AM310" s="14" t="s">
        <v>18</v>
      </c>
      <c r="AN310" s="15" t="s">
        <v>18</v>
      </c>
      <c r="AO310" s="14" t="s">
        <v>18</v>
      </c>
      <c r="AP310" s="15" t="s">
        <v>18</v>
      </c>
      <c r="AQ310" s="61">
        <f t="shared" si="72"/>
        <v>3</v>
      </c>
      <c r="AR310" s="62">
        <f>IF($A297=TRUE,AQ310*$I297,0)</f>
        <v>0</v>
      </c>
      <c r="AS310" s="13" t="s">
        <v>12</v>
      </c>
      <c r="AT310" s="14" t="s">
        <v>18</v>
      </c>
      <c r="AU310" s="15" t="s">
        <v>18</v>
      </c>
      <c r="AV310" s="30">
        <v>3</v>
      </c>
      <c r="AW310" s="32">
        <v>3</v>
      </c>
      <c r="AX310" s="14" t="s">
        <v>18</v>
      </c>
      <c r="AY310" s="15" t="s">
        <v>18</v>
      </c>
      <c r="AZ310" s="40">
        <v>2</v>
      </c>
      <c r="BA310" s="41">
        <v>2</v>
      </c>
      <c r="BB310" s="61">
        <f t="shared" si="73"/>
        <v>3</v>
      </c>
      <c r="BC310" s="62">
        <f>IF($A297=TRUE,BB310*$I297,0)</f>
        <v>0</v>
      </c>
      <c r="BD310" s="63"/>
      <c r="BE310" s="63"/>
      <c r="BF310" s="63"/>
      <c r="BG310" s="63"/>
      <c r="BH310" s="63"/>
      <c r="BI310" s="63"/>
    </row>
    <row r="311" spans="1:61" s="2" customFormat="1" x14ac:dyDescent="0.3">
      <c r="J311" s="57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57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57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57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57"/>
      <c r="BC311" s="4"/>
      <c r="BD311" s="4"/>
      <c r="BE311" s="4"/>
      <c r="BF311" s="4"/>
      <c r="BG311" s="4"/>
      <c r="BH311" s="4"/>
      <c r="BI311" s="4"/>
    </row>
    <row r="312" spans="1:61" s="2" customFormat="1" x14ac:dyDescent="0.3">
      <c r="J312" s="57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57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57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57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57"/>
      <c r="BC312" s="4"/>
      <c r="BD312" s="4"/>
      <c r="BE312" s="4"/>
      <c r="BF312" s="4"/>
      <c r="BG312" s="4"/>
      <c r="BH312" s="4"/>
      <c r="BI312" s="4"/>
    </row>
    <row r="313" spans="1:61" s="2" customFormat="1" ht="18" x14ac:dyDescent="0.35">
      <c r="A313" s="69" t="s">
        <v>32</v>
      </c>
      <c r="B313" s="70"/>
      <c r="I313" s="64" t="s">
        <v>27</v>
      </c>
      <c r="J313" s="65"/>
      <c r="K313" s="66"/>
      <c r="L313" s="4"/>
      <c r="M313" s="4"/>
      <c r="N313" s="4"/>
      <c r="O313" s="4"/>
      <c r="P313" s="4"/>
      <c r="Q313" s="4"/>
      <c r="R313" s="4"/>
      <c r="S313" s="4"/>
      <c r="T313" s="64" t="s">
        <v>28</v>
      </c>
      <c r="U313" s="65"/>
      <c r="V313" s="66"/>
      <c r="W313" s="4"/>
      <c r="X313" s="4"/>
      <c r="Y313" s="4"/>
      <c r="Z313" s="4"/>
      <c r="AA313" s="4"/>
      <c r="AB313" s="4"/>
      <c r="AC313" s="4"/>
      <c r="AD313" s="4"/>
      <c r="AE313" s="64" t="s">
        <v>29</v>
      </c>
      <c r="AF313" s="65"/>
      <c r="AG313" s="66"/>
      <c r="AH313" s="4"/>
      <c r="AI313" s="4"/>
      <c r="AJ313" s="4"/>
      <c r="AK313" s="4"/>
      <c r="AL313" s="4"/>
      <c r="AM313" s="4"/>
      <c r="AN313" s="4"/>
      <c r="AO313" s="4"/>
      <c r="AP313" s="64" t="s">
        <v>30</v>
      </c>
      <c r="AQ313" s="65"/>
      <c r="AR313" s="66"/>
      <c r="AS313" s="4"/>
      <c r="AT313" s="4"/>
      <c r="AU313" s="4"/>
      <c r="AV313" s="4"/>
      <c r="AW313" s="4"/>
      <c r="AX313" s="4"/>
      <c r="AY313" s="4"/>
      <c r="AZ313" s="4"/>
      <c r="BA313" s="64" t="s">
        <v>31</v>
      </c>
      <c r="BB313" s="65"/>
      <c r="BC313" s="66"/>
      <c r="BD313" s="4"/>
      <c r="BE313" s="4"/>
      <c r="BF313" s="4"/>
      <c r="BG313" s="4"/>
      <c r="BH313" s="4"/>
      <c r="BI313" s="4"/>
    </row>
    <row r="314" spans="1:61" s="2" customFormat="1" x14ac:dyDescent="0.3">
      <c r="A314" s="1" t="s">
        <v>4</v>
      </c>
      <c r="B314" s="3">
        <f>K314+V314+AG314+AR314</f>
        <v>652</v>
      </c>
      <c r="I314" s="1" t="s">
        <v>4</v>
      </c>
      <c r="J314" s="57"/>
      <c r="K314" s="46">
        <f>SUM(K301,K285,K269,K253,K237,K221,K205,K189,K173,K157,K141,K125,K109,K93,K77,K61)</f>
        <v>163</v>
      </c>
      <c r="L314" s="4"/>
      <c r="M314" s="4"/>
      <c r="N314" s="4"/>
      <c r="O314" s="4"/>
      <c r="P314" s="4"/>
      <c r="Q314" s="4"/>
      <c r="R314" s="4"/>
      <c r="S314" s="4"/>
      <c r="T314" s="1" t="s">
        <v>4</v>
      </c>
      <c r="U314" s="57"/>
      <c r="V314" s="46">
        <f>SUM(V301,V285,V269,V253,V237,V221,V205,V189,V173,V157,V141,V125,V109,V93,V77,V61)</f>
        <v>163</v>
      </c>
      <c r="W314" s="4"/>
      <c r="X314" s="4"/>
      <c r="Y314" s="4"/>
      <c r="Z314" s="4"/>
      <c r="AA314" s="4"/>
      <c r="AB314" s="4"/>
      <c r="AC314" s="4"/>
      <c r="AD314" s="4"/>
      <c r="AE314" s="1" t="s">
        <v>4</v>
      </c>
      <c r="AF314" s="57"/>
      <c r="AG314" s="46">
        <f>SUM(AG301,AG285,AG269,AG253,AG237,AG221,AG205,AG189,AG173,AG157,AG141,AG125,AG109,AG93,AG77,AG61)</f>
        <v>163</v>
      </c>
      <c r="AH314" s="4"/>
      <c r="AI314" s="4"/>
      <c r="AJ314" s="4"/>
      <c r="AK314" s="4"/>
      <c r="AL314" s="4"/>
      <c r="AM314" s="4"/>
      <c r="AN314" s="4"/>
      <c r="AO314" s="4"/>
      <c r="AP314" s="1" t="s">
        <v>4</v>
      </c>
      <c r="AQ314" s="57"/>
      <c r="AR314" s="46">
        <f>SUM(AR301,AR285,AR269,AR253,AR237,AR221,AR205,AR189,AR173,AR157,AR141,AR125,AR109,AR93,AR77,AR61)</f>
        <v>163</v>
      </c>
      <c r="AS314" s="4"/>
      <c r="AT314" s="4"/>
      <c r="AU314" s="4"/>
      <c r="AV314" s="4"/>
      <c r="AW314" s="4"/>
      <c r="AX314" s="4"/>
      <c r="AY314" s="4"/>
      <c r="AZ314" s="4"/>
      <c r="BA314" s="1" t="s">
        <v>4</v>
      </c>
      <c r="BB314" s="57"/>
      <c r="BC314" s="46">
        <f>SUM(BC301,BC285,BC269,BC253,BC237,BC221,BC205,BC189,BC173,BC157,BC141,BC125,BC109,BC93,BC77,BC61)</f>
        <v>0</v>
      </c>
      <c r="BD314" s="4"/>
      <c r="BE314" s="4"/>
      <c r="BF314" s="4"/>
      <c r="BG314" s="4"/>
      <c r="BH314" s="4"/>
      <c r="BI314" s="4"/>
    </row>
    <row r="315" spans="1:61" s="2" customFormat="1" x14ac:dyDescent="0.3">
      <c r="A315" s="1" t="s">
        <v>5</v>
      </c>
      <c r="B315" s="3">
        <f t="shared" ref="B315:B323" si="74">K315+V315+AG315+AR315</f>
        <v>564</v>
      </c>
      <c r="I315" s="1" t="s">
        <v>5</v>
      </c>
      <c r="J315" s="57"/>
      <c r="K315" s="46">
        <f t="shared" ref="K315:K323" si="75">SUM(K302,K286,K270,K254,K238,K222,K206,K190,K174,K158,K142,K126,K110,K94,K78,K62)</f>
        <v>141</v>
      </c>
      <c r="L315" s="4"/>
      <c r="M315" s="4"/>
      <c r="N315" s="4"/>
      <c r="O315" s="4"/>
      <c r="P315" s="4"/>
      <c r="Q315" s="4"/>
      <c r="R315" s="4"/>
      <c r="S315" s="4"/>
      <c r="T315" s="1" t="s">
        <v>5</v>
      </c>
      <c r="U315" s="57"/>
      <c r="V315" s="46">
        <f t="shared" ref="V315:V323" si="76">SUM(V302,V286,V270,V254,V238,V222,V206,V190,V174,V158,V142,V126,V110,V94,V78,V62)</f>
        <v>141</v>
      </c>
      <c r="W315" s="4"/>
      <c r="X315" s="4"/>
      <c r="Y315" s="4"/>
      <c r="Z315" s="4"/>
      <c r="AA315" s="4"/>
      <c r="AB315" s="4"/>
      <c r="AC315" s="4"/>
      <c r="AD315" s="4"/>
      <c r="AE315" s="1" t="s">
        <v>5</v>
      </c>
      <c r="AF315" s="57"/>
      <c r="AG315" s="46">
        <f t="shared" ref="AG315:AG323" si="77">SUM(AG302,AG286,AG270,AG254,AG238,AG222,AG206,AG190,AG174,AG158,AG142,AG126,AG110,AG94,AG78,AG62)</f>
        <v>141</v>
      </c>
      <c r="AH315" s="4"/>
      <c r="AI315" s="4"/>
      <c r="AJ315" s="4"/>
      <c r="AK315" s="4"/>
      <c r="AL315" s="4"/>
      <c r="AM315" s="4"/>
      <c r="AN315" s="4"/>
      <c r="AO315" s="4"/>
      <c r="AP315" s="1" t="s">
        <v>5</v>
      </c>
      <c r="AQ315" s="57"/>
      <c r="AR315" s="46">
        <f t="shared" ref="AR315:AR323" si="78">SUM(AR302,AR286,AR270,AR254,AR238,AR222,AR206,AR190,AR174,AR158,AR142,AR126,AR110,AR94,AR78,AR62)</f>
        <v>141</v>
      </c>
      <c r="AS315" s="4"/>
      <c r="AT315" s="4"/>
      <c r="AU315" s="4"/>
      <c r="AV315" s="4"/>
      <c r="AW315" s="4"/>
      <c r="AX315" s="4"/>
      <c r="AY315" s="4"/>
      <c r="AZ315" s="4"/>
      <c r="BA315" s="1" t="s">
        <v>5</v>
      </c>
      <c r="BB315" s="57"/>
      <c r="BC315" s="46">
        <f t="shared" ref="BC315:BC323" si="79">SUM(BC302,BC286,BC270,BC254,BC238,BC222,BC206,BC190,BC174,BC158,BC142,BC126,BC110,BC94,BC78,BC62)</f>
        <v>0</v>
      </c>
      <c r="BD315" s="4"/>
      <c r="BE315" s="4"/>
      <c r="BF315" s="4"/>
      <c r="BG315" s="4"/>
      <c r="BH315" s="4"/>
      <c r="BI315" s="4"/>
    </row>
    <row r="316" spans="1:61" s="2" customFormat="1" x14ac:dyDescent="0.3">
      <c r="A316" s="1" t="s">
        <v>6</v>
      </c>
      <c r="B316" s="3">
        <f t="shared" si="74"/>
        <v>536</v>
      </c>
      <c r="I316" s="1" t="s">
        <v>6</v>
      </c>
      <c r="J316" s="57"/>
      <c r="K316" s="46">
        <f t="shared" si="75"/>
        <v>134</v>
      </c>
      <c r="L316" s="4"/>
      <c r="M316" s="4"/>
      <c r="N316" s="4"/>
      <c r="O316" s="4"/>
      <c r="P316" s="4"/>
      <c r="Q316" s="4"/>
      <c r="R316" s="4"/>
      <c r="S316" s="4"/>
      <c r="T316" s="1" t="s">
        <v>6</v>
      </c>
      <c r="U316" s="57"/>
      <c r="V316" s="46">
        <f t="shared" si="76"/>
        <v>134</v>
      </c>
      <c r="W316" s="4"/>
      <c r="X316" s="4"/>
      <c r="Y316" s="4"/>
      <c r="Z316" s="4"/>
      <c r="AA316" s="4"/>
      <c r="AB316" s="4"/>
      <c r="AC316" s="4"/>
      <c r="AD316" s="4"/>
      <c r="AE316" s="1" t="s">
        <v>6</v>
      </c>
      <c r="AF316" s="57"/>
      <c r="AG316" s="46">
        <f t="shared" si="77"/>
        <v>134</v>
      </c>
      <c r="AH316" s="4"/>
      <c r="AI316" s="4"/>
      <c r="AJ316" s="4"/>
      <c r="AK316" s="4"/>
      <c r="AL316" s="4"/>
      <c r="AM316" s="4"/>
      <c r="AN316" s="4"/>
      <c r="AO316" s="4"/>
      <c r="AP316" s="1" t="s">
        <v>6</v>
      </c>
      <c r="AQ316" s="57"/>
      <c r="AR316" s="46">
        <f t="shared" si="78"/>
        <v>134</v>
      </c>
      <c r="AS316" s="4"/>
      <c r="AT316" s="4"/>
      <c r="AU316" s="4"/>
      <c r="AV316" s="4"/>
      <c r="AW316" s="4"/>
      <c r="AX316" s="4"/>
      <c r="AY316" s="4"/>
      <c r="AZ316" s="4"/>
      <c r="BA316" s="1" t="s">
        <v>6</v>
      </c>
      <c r="BB316" s="57"/>
      <c r="BC316" s="46">
        <f t="shared" si="79"/>
        <v>0</v>
      </c>
      <c r="BD316" s="4"/>
      <c r="BE316" s="4"/>
      <c r="BF316" s="4"/>
      <c r="BG316" s="4"/>
      <c r="BH316" s="4"/>
      <c r="BI316" s="4"/>
    </row>
    <row r="317" spans="1:61" s="2" customFormat="1" x14ac:dyDescent="0.3">
      <c r="A317" s="1" t="s">
        <v>1</v>
      </c>
      <c r="B317" s="3">
        <f t="shared" si="74"/>
        <v>690</v>
      </c>
      <c r="I317" s="1" t="s">
        <v>1</v>
      </c>
      <c r="J317" s="57"/>
      <c r="K317" s="46">
        <f t="shared" si="75"/>
        <v>156</v>
      </c>
      <c r="L317" s="4"/>
      <c r="M317" s="4"/>
      <c r="N317" s="4"/>
      <c r="O317" s="4"/>
      <c r="P317" s="4"/>
      <c r="Q317" s="4"/>
      <c r="R317" s="4"/>
      <c r="S317" s="4"/>
      <c r="T317" s="1" t="s">
        <v>1</v>
      </c>
      <c r="U317" s="57"/>
      <c r="V317" s="46">
        <f t="shared" si="76"/>
        <v>156</v>
      </c>
      <c r="W317" s="4"/>
      <c r="X317" s="4"/>
      <c r="Y317" s="4"/>
      <c r="Z317" s="4"/>
      <c r="AA317" s="4"/>
      <c r="AB317" s="4"/>
      <c r="AC317" s="4"/>
      <c r="AD317" s="4"/>
      <c r="AE317" s="1" t="s">
        <v>1</v>
      </c>
      <c r="AF317" s="57"/>
      <c r="AG317" s="46">
        <f t="shared" si="77"/>
        <v>166</v>
      </c>
      <c r="AH317" s="4"/>
      <c r="AI317" s="4"/>
      <c r="AJ317" s="4"/>
      <c r="AK317" s="4"/>
      <c r="AL317" s="4"/>
      <c r="AM317" s="4"/>
      <c r="AN317" s="4"/>
      <c r="AO317" s="4"/>
      <c r="AP317" s="1" t="s">
        <v>1</v>
      </c>
      <c r="AQ317" s="57"/>
      <c r="AR317" s="46">
        <f t="shared" si="78"/>
        <v>212</v>
      </c>
      <c r="AS317" s="4"/>
      <c r="AT317" s="4"/>
      <c r="AU317" s="4"/>
      <c r="AV317" s="4"/>
      <c r="AW317" s="4"/>
      <c r="AX317" s="4"/>
      <c r="AY317" s="4"/>
      <c r="AZ317" s="4"/>
      <c r="BA317" s="1" t="s">
        <v>1</v>
      </c>
      <c r="BB317" s="57"/>
      <c r="BC317" s="46">
        <f t="shared" si="79"/>
        <v>0</v>
      </c>
      <c r="BD317" s="4"/>
      <c r="BE317" s="4"/>
      <c r="BF317" s="4"/>
      <c r="BG317" s="4"/>
      <c r="BH317" s="4"/>
      <c r="BI317" s="4"/>
    </row>
    <row r="318" spans="1:61" s="2" customFormat="1" x14ac:dyDescent="0.3">
      <c r="A318" s="1" t="s">
        <v>35</v>
      </c>
      <c r="B318" s="3">
        <f t="shared" si="74"/>
        <v>600</v>
      </c>
      <c r="I318" s="1" t="s">
        <v>16</v>
      </c>
      <c r="J318" s="57"/>
      <c r="K318" s="46">
        <f t="shared" si="75"/>
        <v>150</v>
      </c>
      <c r="L318" s="4"/>
      <c r="M318" s="4"/>
      <c r="N318" s="4"/>
      <c r="O318" s="4"/>
      <c r="P318" s="4"/>
      <c r="Q318" s="4"/>
      <c r="R318" s="4"/>
      <c r="S318" s="4"/>
      <c r="T318" s="1" t="s">
        <v>16</v>
      </c>
      <c r="U318" s="57"/>
      <c r="V318" s="46">
        <f t="shared" si="76"/>
        <v>150</v>
      </c>
      <c r="W318" s="4"/>
      <c r="X318" s="4"/>
      <c r="Y318" s="4"/>
      <c r="Z318" s="4"/>
      <c r="AA318" s="4"/>
      <c r="AB318" s="4"/>
      <c r="AC318" s="4"/>
      <c r="AD318" s="4"/>
      <c r="AE318" s="1" t="s">
        <v>16</v>
      </c>
      <c r="AF318" s="57"/>
      <c r="AG318" s="46">
        <f t="shared" si="77"/>
        <v>150</v>
      </c>
      <c r="AH318" s="4"/>
      <c r="AI318" s="4"/>
      <c r="AJ318" s="4"/>
      <c r="AK318" s="4"/>
      <c r="AL318" s="4"/>
      <c r="AM318" s="4"/>
      <c r="AN318" s="4"/>
      <c r="AO318" s="4"/>
      <c r="AP318" s="1" t="s">
        <v>16</v>
      </c>
      <c r="AQ318" s="57"/>
      <c r="AR318" s="46">
        <f t="shared" si="78"/>
        <v>150</v>
      </c>
      <c r="AS318" s="4"/>
      <c r="AT318" s="4"/>
      <c r="AU318" s="4"/>
      <c r="AV318" s="4"/>
      <c r="AW318" s="4"/>
      <c r="AX318" s="4"/>
      <c r="AY318" s="4"/>
      <c r="AZ318" s="4"/>
      <c r="BA318" s="1" t="s">
        <v>16</v>
      </c>
      <c r="BB318" s="57"/>
      <c r="BC318" s="46">
        <f t="shared" si="79"/>
        <v>0</v>
      </c>
      <c r="BD318" s="4"/>
      <c r="BE318" s="4"/>
      <c r="BF318" s="4"/>
      <c r="BG318" s="4"/>
      <c r="BH318" s="4"/>
      <c r="BI318" s="4"/>
    </row>
    <row r="319" spans="1:61" s="2" customFormat="1" x14ac:dyDescent="0.3">
      <c r="A319" s="1" t="s">
        <v>34</v>
      </c>
      <c r="B319" s="3">
        <f t="shared" si="74"/>
        <v>659</v>
      </c>
      <c r="I319" s="1" t="s">
        <v>17</v>
      </c>
      <c r="J319" s="57"/>
      <c r="K319" s="46">
        <f t="shared" si="75"/>
        <v>143</v>
      </c>
      <c r="L319" s="4"/>
      <c r="M319" s="4"/>
      <c r="N319" s="4"/>
      <c r="O319" s="4"/>
      <c r="P319" s="4"/>
      <c r="Q319" s="4"/>
      <c r="R319" s="4"/>
      <c r="S319" s="4"/>
      <c r="T319" s="1" t="s">
        <v>17</v>
      </c>
      <c r="U319" s="57"/>
      <c r="V319" s="46">
        <f t="shared" si="76"/>
        <v>172</v>
      </c>
      <c r="W319" s="4"/>
      <c r="X319" s="4"/>
      <c r="Y319" s="4"/>
      <c r="Z319" s="4"/>
      <c r="AA319" s="4"/>
      <c r="AB319" s="4"/>
      <c r="AC319" s="4"/>
      <c r="AD319" s="4"/>
      <c r="AE319" s="1" t="s">
        <v>17</v>
      </c>
      <c r="AF319" s="57"/>
      <c r="AG319" s="46">
        <f t="shared" si="77"/>
        <v>176</v>
      </c>
      <c r="AH319" s="4"/>
      <c r="AI319" s="4"/>
      <c r="AJ319" s="4"/>
      <c r="AK319" s="4"/>
      <c r="AL319" s="4"/>
      <c r="AM319" s="4"/>
      <c r="AN319" s="4"/>
      <c r="AO319" s="4"/>
      <c r="AP319" s="1" t="s">
        <v>17</v>
      </c>
      <c r="AQ319" s="57"/>
      <c r="AR319" s="46">
        <f t="shared" si="78"/>
        <v>168</v>
      </c>
      <c r="AS319" s="4"/>
      <c r="AT319" s="4"/>
      <c r="AU319" s="4"/>
      <c r="AV319" s="4"/>
      <c r="AW319" s="4"/>
      <c r="AX319" s="4"/>
      <c r="AY319" s="4"/>
      <c r="AZ319" s="4"/>
      <c r="BA319" s="1" t="s">
        <v>17</v>
      </c>
      <c r="BB319" s="57"/>
      <c r="BC319" s="46">
        <f t="shared" si="79"/>
        <v>213</v>
      </c>
      <c r="BD319" s="4"/>
      <c r="BE319" s="4"/>
      <c r="BF319" s="4"/>
      <c r="BG319" s="4"/>
      <c r="BH319" s="4"/>
      <c r="BI319" s="4"/>
    </row>
    <row r="320" spans="1:61" s="2" customFormat="1" x14ac:dyDescent="0.3">
      <c r="A320" s="1" t="s">
        <v>2</v>
      </c>
      <c r="B320" s="3">
        <f t="shared" si="74"/>
        <v>604</v>
      </c>
      <c r="I320" s="1" t="s">
        <v>2</v>
      </c>
      <c r="J320" s="57"/>
      <c r="K320" s="46">
        <f t="shared" si="75"/>
        <v>151</v>
      </c>
      <c r="L320" s="4"/>
      <c r="M320" s="4"/>
      <c r="N320" s="4"/>
      <c r="O320" s="4"/>
      <c r="P320" s="4"/>
      <c r="Q320" s="4"/>
      <c r="R320" s="4"/>
      <c r="S320" s="4"/>
      <c r="T320" s="1" t="s">
        <v>2</v>
      </c>
      <c r="U320" s="57"/>
      <c r="V320" s="46">
        <f t="shared" si="76"/>
        <v>151</v>
      </c>
      <c r="W320" s="4"/>
      <c r="X320" s="4"/>
      <c r="Y320" s="4"/>
      <c r="Z320" s="4"/>
      <c r="AA320" s="4"/>
      <c r="AB320" s="4"/>
      <c r="AC320" s="4"/>
      <c r="AD320" s="4"/>
      <c r="AE320" s="1" t="s">
        <v>2</v>
      </c>
      <c r="AF320" s="57"/>
      <c r="AG320" s="46">
        <f t="shared" si="77"/>
        <v>151</v>
      </c>
      <c r="AH320" s="4"/>
      <c r="AI320" s="4"/>
      <c r="AJ320" s="4"/>
      <c r="AK320" s="4"/>
      <c r="AL320" s="4"/>
      <c r="AM320" s="4"/>
      <c r="AN320" s="4"/>
      <c r="AO320" s="4"/>
      <c r="AP320" s="1" t="s">
        <v>2</v>
      </c>
      <c r="AQ320" s="57"/>
      <c r="AR320" s="46">
        <f t="shared" si="78"/>
        <v>151</v>
      </c>
      <c r="AS320" s="4"/>
      <c r="AT320" s="4"/>
      <c r="AU320" s="4"/>
      <c r="AV320" s="4"/>
      <c r="AW320" s="4"/>
      <c r="AX320" s="4"/>
      <c r="AY320" s="4"/>
      <c r="AZ320" s="4"/>
      <c r="BA320" s="1" t="s">
        <v>2</v>
      </c>
      <c r="BB320" s="57"/>
      <c r="BC320" s="46">
        <f t="shared" si="79"/>
        <v>0</v>
      </c>
      <c r="BD320" s="4"/>
      <c r="BE320" s="4"/>
      <c r="BF320" s="4"/>
      <c r="BG320" s="4"/>
      <c r="BH320" s="4"/>
      <c r="BI320" s="4"/>
    </row>
    <row r="321" spans="1:61" s="2" customFormat="1" x14ac:dyDescent="0.3">
      <c r="A321" s="1" t="s">
        <v>20</v>
      </c>
      <c r="B321" s="3">
        <f t="shared" si="74"/>
        <v>832</v>
      </c>
      <c r="I321" s="1" t="s">
        <v>20</v>
      </c>
      <c r="J321" s="57"/>
      <c r="K321" s="46">
        <f t="shared" si="75"/>
        <v>208</v>
      </c>
      <c r="L321" s="4"/>
      <c r="M321" s="4"/>
      <c r="N321" s="4"/>
      <c r="O321" s="4"/>
      <c r="P321" s="4"/>
      <c r="Q321" s="4"/>
      <c r="R321" s="4"/>
      <c r="S321" s="4"/>
      <c r="T321" s="1" t="s">
        <v>20</v>
      </c>
      <c r="U321" s="57"/>
      <c r="V321" s="46">
        <f t="shared" si="76"/>
        <v>208</v>
      </c>
      <c r="W321" s="4"/>
      <c r="X321" s="4"/>
      <c r="Y321" s="4"/>
      <c r="Z321" s="4"/>
      <c r="AA321" s="4"/>
      <c r="AB321" s="4"/>
      <c r="AC321" s="4"/>
      <c r="AD321" s="4"/>
      <c r="AE321" s="1" t="s">
        <v>20</v>
      </c>
      <c r="AF321" s="57"/>
      <c r="AG321" s="46">
        <f t="shared" si="77"/>
        <v>208</v>
      </c>
      <c r="AH321" s="4"/>
      <c r="AI321" s="4"/>
      <c r="AJ321" s="4"/>
      <c r="AK321" s="4"/>
      <c r="AL321" s="4"/>
      <c r="AM321" s="4"/>
      <c r="AN321" s="4"/>
      <c r="AO321" s="4"/>
      <c r="AP321" s="1" t="s">
        <v>20</v>
      </c>
      <c r="AQ321" s="57"/>
      <c r="AR321" s="46">
        <f t="shared" si="78"/>
        <v>208</v>
      </c>
      <c r="AS321" s="4"/>
      <c r="AT321" s="4"/>
      <c r="AU321" s="4"/>
      <c r="AV321" s="4"/>
      <c r="AW321" s="4"/>
      <c r="AX321" s="4"/>
      <c r="AY321" s="4"/>
      <c r="AZ321" s="4"/>
      <c r="BA321" s="1" t="s">
        <v>20</v>
      </c>
      <c r="BB321" s="57"/>
      <c r="BC321" s="46">
        <f t="shared" si="79"/>
        <v>0</v>
      </c>
      <c r="BD321" s="4"/>
      <c r="BE321" s="4"/>
      <c r="BF321" s="4"/>
      <c r="BG321" s="4"/>
      <c r="BH321" s="4"/>
      <c r="BI321" s="4"/>
    </row>
    <row r="322" spans="1:61" s="2" customFormat="1" x14ac:dyDescent="0.3">
      <c r="A322" s="1" t="s">
        <v>3</v>
      </c>
      <c r="B322" s="3">
        <f t="shared" si="74"/>
        <v>620</v>
      </c>
      <c r="I322" s="1" t="s">
        <v>3</v>
      </c>
      <c r="J322" s="57"/>
      <c r="K322" s="46">
        <f t="shared" si="75"/>
        <v>124</v>
      </c>
      <c r="L322" s="4"/>
      <c r="M322" s="4"/>
      <c r="N322" s="4"/>
      <c r="O322" s="4"/>
      <c r="P322" s="4"/>
      <c r="Q322" s="4"/>
      <c r="R322" s="4"/>
      <c r="S322" s="4"/>
      <c r="T322" s="1" t="s">
        <v>3</v>
      </c>
      <c r="U322" s="57"/>
      <c r="V322" s="46">
        <f t="shared" si="76"/>
        <v>149</v>
      </c>
      <c r="W322" s="4"/>
      <c r="X322" s="4"/>
      <c r="Y322" s="4"/>
      <c r="Z322" s="4"/>
      <c r="AA322" s="4"/>
      <c r="AB322" s="4"/>
      <c r="AC322" s="4"/>
      <c r="AD322" s="4"/>
      <c r="AE322" s="1" t="s">
        <v>3</v>
      </c>
      <c r="AF322" s="57"/>
      <c r="AG322" s="46">
        <f t="shared" si="77"/>
        <v>173</v>
      </c>
      <c r="AH322" s="4"/>
      <c r="AI322" s="4"/>
      <c r="AJ322" s="4"/>
      <c r="AK322" s="4"/>
      <c r="AL322" s="4"/>
      <c r="AM322" s="4"/>
      <c r="AN322" s="4"/>
      <c r="AO322" s="4"/>
      <c r="AP322" s="1" t="s">
        <v>3</v>
      </c>
      <c r="AQ322" s="57"/>
      <c r="AR322" s="46">
        <f t="shared" si="78"/>
        <v>174</v>
      </c>
      <c r="AS322" s="4"/>
      <c r="AT322" s="4"/>
      <c r="AU322" s="4"/>
      <c r="AV322" s="4"/>
      <c r="AW322" s="4"/>
      <c r="AX322" s="4"/>
      <c r="AY322" s="4"/>
      <c r="AZ322" s="4"/>
      <c r="BA322" s="1" t="s">
        <v>36</v>
      </c>
      <c r="BB322" s="57"/>
      <c r="BC322" s="46">
        <f t="shared" si="79"/>
        <v>213</v>
      </c>
      <c r="BD322" s="4"/>
      <c r="BE322" s="4"/>
      <c r="BF322" s="4"/>
      <c r="BG322" s="4"/>
      <c r="BH322" s="4"/>
      <c r="BI322" s="4"/>
    </row>
    <row r="323" spans="1:61" s="2" customFormat="1" x14ac:dyDescent="0.3">
      <c r="A323" s="13" t="s">
        <v>12</v>
      </c>
      <c r="B323" s="38">
        <f t="shared" si="74"/>
        <v>590</v>
      </c>
      <c r="I323" s="13" t="s">
        <v>12</v>
      </c>
      <c r="J323" s="67"/>
      <c r="K323" s="68">
        <f t="shared" si="75"/>
        <v>129</v>
      </c>
      <c r="L323" s="4"/>
      <c r="M323" s="4"/>
      <c r="N323" s="4"/>
      <c r="O323" s="4"/>
      <c r="P323" s="4"/>
      <c r="Q323" s="4"/>
      <c r="R323" s="4"/>
      <c r="S323" s="4"/>
      <c r="T323" s="13" t="s">
        <v>12</v>
      </c>
      <c r="U323" s="67"/>
      <c r="V323" s="68">
        <f t="shared" si="76"/>
        <v>149</v>
      </c>
      <c r="W323" s="4"/>
      <c r="X323" s="4"/>
      <c r="Y323" s="4"/>
      <c r="Z323" s="4"/>
      <c r="AA323" s="4"/>
      <c r="AB323" s="4"/>
      <c r="AC323" s="4"/>
      <c r="AD323" s="4"/>
      <c r="AE323" s="13" t="s">
        <v>12</v>
      </c>
      <c r="AF323" s="67"/>
      <c r="AG323" s="68">
        <f t="shared" si="77"/>
        <v>163</v>
      </c>
      <c r="AH323" s="4"/>
      <c r="AI323" s="4"/>
      <c r="AJ323" s="4"/>
      <c r="AK323" s="4"/>
      <c r="AL323" s="4"/>
      <c r="AM323" s="4"/>
      <c r="AN323" s="4"/>
      <c r="AO323" s="4"/>
      <c r="AP323" s="13" t="s">
        <v>12</v>
      </c>
      <c r="AQ323" s="67"/>
      <c r="AR323" s="68">
        <f t="shared" si="78"/>
        <v>149</v>
      </c>
      <c r="AS323" s="4"/>
      <c r="AT323" s="4"/>
      <c r="AU323" s="4"/>
      <c r="AV323" s="4"/>
      <c r="AW323" s="4"/>
      <c r="AX323" s="4"/>
      <c r="AY323" s="4"/>
      <c r="AZ323" s="4"/>
      <c r="BA323" s="13" t="s">
        <v>12</v>
      </c>
      <c r="BB323" s="67"/>
      <c r="BC323" s="68">
        <f t="shared" si="79"/>
        <v>213</v>
      </c>
      <c r="BD323" s="4"/>
      <c r="BE323" s="4"/>
      <c r="BF323" s="4"/>
      <c r="BG323" s="4"/>
      <c r="BH323" s="4"/>
      <c r="BI323" s="4"/>
    </row>
    <row r="324" spans="1:61" s="2" customFormat="1" x14ac:dyDescent="0.3">
      <c r="J324" s="57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57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57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57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57"/>
      <c r="BC324" s="4"/>
      <c r="BD324" s="4"/>
      <c r="BE324" s="4"/>
      <c r="BF324" s="4"/>
      <c r="BG324" s="4"/>
      <c r="BH324" s="4"/>
      <c r="BI324" s="4"/>
    </row>
    <row r="325" spans="1:61" s="2" customFormat="1" x14ac:dyDescent="0.3">
      <c r="J325" s="57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57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57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57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57"/>
      <c r="BC325" s="4"/>
      <c r="BD325" s="4"/>
      <c r="BE325" s="4"/>
      <c r="BF325" s="4"/>
      <c r="BG325" s="4"/>
      <c r="BH325" s="4"/>
      <c r="BI325" s="4"/>
    </row>
    <row r="326" spans="1:61" s="2" customFormat="1" x14ac:dyDescent="0.3">
      <c r="J326" s="57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57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57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57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57"/>
      <c r="BC326" s="4"/>
      <c r="BD326" s="4"/>
      <c r="BE326" s="4"/>
      <c r="BF326" s="4"/>
      <c r="BG326" s="4"/>
      <c r="BH326" s="4"/>
      <c r="BI326" s="4"/>
    </row>
    <row r="327" spans="1:61" s="2" customFormat="1" x14ac:dyDescent="0.3">
      <c r="J327" s="57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57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57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57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57"/>
      <c r="BC327" s="4"/>
      <c r="BD327" s="4"/>
      <c r="BE327" s="4"/>
      <c r="BF327" s="4"/>
      <c r="BG327" s="4"/>
      <c r="BH327" s="4"/>
      <c r="BI327" s="4"/>
    </row>
    <row r="328" spans="1:61" s="2" customFormat="1" x14ac:dyDescent="0.3">
      <c r="J328" s="57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57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57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57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57"/>
      <c r="BC328" s="4"/>
      <c r="BD328" s="4"/>
      <c r="BE328" s="4"/>
      <c r="BF328" s="4"/>
      <c r="BG328" s="4"/>
      <c r="BH328" s="4"/>
      <c r="BI328" s="4"/>
    </row>
    <row r="329" spans="1:61" s="2" customFormat="1" x14ac:dyDescent="0.3">
      <c r="J329" s="57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57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57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57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57"/>
      <c r="BC329" s="4"/>
      <c r="BD329" s="4"/>
      <c r="BE329" s="4"/>
      <c r="BF329" s="4"/>
      <c r="BG329" s="4"/>
      <c r="BH329" s="4"/>
      <c r="BI329" s="4"/>
    </row>
    <row r="330" spans="1:61" s="2" customFormat="1" x14ac:dyDescent="0.3">
      <c r="J330" s="57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57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57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57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57"/>
      <c r="BC330" s="4"/>
      <c r="BD330" s="4"/>
      <c r="BE330" s="4"/>
      <c r="BF330" s="4"/>
      <c r="BG330" s="4"/>
      <c r="BH330" s="4"/>
      <c r="BI330" s="4"/>
    </row>
    <row r="331" spans="1:61" s="2" customFormat="1" x14ac:dyDescent="0.3">
      <c r="J331" s="57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57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36" t="s">
        <v>20</v>
      </c>
      <c r="AG331" s="66">
        <v>208</v>
      </c>
      <c r="AH331" s="4"/>
      <c r="AI331" s="4"/>
      <c r="AJ331" s="4"/>
      <c r="AK331" s="4"/>
      <c r="AL331" s="4"/>
      <c r="AM331" s="4"/>
      <c r="AN331" s="4"/>
      <c r="AO331" s="4"/>
      <c r="AP331" s="4"/>
      <c r="AQ331" s="36" t="s">
        <v>1</v>
      </c>
      <c r="AR331" s="66">
        <v>212</v>
      </c>
      <c r="AS331" s="4"/>
      <c r="AT331" s="4"/>
      <c r="AU331" s="4"/>
      <c r="AV331" s="4"/>
      <c r="AW331" s="4"/>
      <c r="AX331" s="4"/>
      <c r="AY331" s="4"/>
      <c r="AZ331" s="4"/>
      <c r="BA331" s="4"/>
      <c r="BB331" s="57"/>
      <c r="BC331" s="4"/>
      <c r="BD331" s="4"/>
      <c r="BE331" s="4"/>
      <c r="BF331" s="4"/>
      <c r="BG331" s="4"/>
      <c r="BH331" s="4"/>
      <c r="BI331" s="4"/>
    </row>
    <row r="332" spans="1:61" s="2" customFormat="1" x14ac:dyDescent="0.3">
      <c r="J332" s="57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57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1" t="s">
        <v>17</v>
      </c>
      <c r="AG332" s="46">
        <v>176</v>
      </c>
      <c r="AH332" s="4"/>
      <c r="AI332" s="4"/>
      <c r="AJ332" s="4"/>
      <c r="AK332" s="4"/>
      <c r="AL332" s="4"/>
      <c r="AM332" s="4"/>
      <c r="AN332" s="4"/>
      <c r="AO332" s="4"/>
      <c r="AP332" s="4"/>
      <c r="AQ332" s="1" t="s">
        <v>20</v>
      </c>
      <c r="AR332" s="46">
        <v>208</v>
      </c>
      <c r="AS332" s="4"/>
      <c r="AT332" s="4"/>
      <c r="AU332" s="4"/>
      <c r="AV332" s="4"/>
      <c r="AW332" s="4"/>
      <c r="AX332" s="4"/>
      <c r="AY332" s="4"/>
      <c r="AZ332" s="4"/>
      <c r="BA332" s="4"/>
      <c r="BB332" s="57"/>
      <c r="BC332" s="4"/>
      <c r="BD332" s="4"/>
      <c r="BE332" s="4"/>
      <c r="BF332" s="4"/>
      <c r="BG332" s="4"/>
      <c r="BH332" s="4"/>
      <c r="BI332" s="4"/>
    </row>
    <row r="333" spans="1:61" s="2" customFormat="1" x14ac:dyDescent="0.3">
      <c r="J333" s="57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57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1" t="s">
        <v>3</v>
      </c>
      <c r="AG333" s="46">
        <v>173</v>
      </c>
      <c r="AH333" s="4"/>
      <c r="AI333" s="4"/>
      <c r="AJ333" s="4"/>
      <c r="AK333" s="4"/>
      <c r="AL333" s="4"/>
      <c r="AM333" s="4"/>
      <c r="AN333" s="4"/>
      <c r="AO333" s="4"/>
      <c r="AP333" s="4"/>
      <c r="AQ333" s="1" t="s">
        <v>3</v>
      </c>
      <c r="AR333" s="46">
        <v>174</v>
      </c>
      <c r="AS333" s="4"/>
      <c r="AT333" s="4"/>
      <c r="AU333" s="4"/>
      <c r="AV333" s="4"/>
      <c r="AW333" s="4"/>
      <c r="AX333" s="4"/>
      <c r="AY333" s="4"/>
      <c r="AZ333" s="4"/>
      <c r="BA333" s="4"/>
      <c r="BB333" s="57"/>
      <c r="BC333" s="4"/>
      <c r="BD333" s="4"/>
      <c r="BE333" s="4"/>
      <c r="BF333" s="4"/>
      <c r="BG333" s="4"/>
      <c r="BH333" s="4"/>
      <c r="BI333" s="4"/>
    </row>
    <row r="334" spans="1:61" s="2" customFormat="1" x14ac:dyDescent="0.3">
      <c r="J334" s="57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57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1" t="s">
        <v>1</v>
      </c>
      <c r="AG334" s="46">
        <v>166</v>
      </c>
      <c r="AH334" s="4"/>
      <c r="AI334" s="4"/>
      <c r="AJ334" s="4"/>
      <c r="AK334" s="4"/>
      <c r="AL334" s="4"/>
      <c r="AM334" s="4"/>
      <c r="AN334" s="4"/>
      <c r="AO334" s="4"/>
      <c r="AP334" s="4"/>
      <c r="AQ334" s="1" t="s">
        <v>17</v>
      </c>
      <c r="AR334" s="46">
        <v>168</v>
      </c>
      <c r="AS334" s="4"/>
      <c r="AT334" s="4"/>
      <c r="AU334" s="4"/>
      <c r="AV334" s="4"/>
      <c r="AW334" s="4"/>
      <c r="AX334" s="4"/>
      <c r="AY334" s="4"/>
      <c r="AZ334" s="4"/>
      <c r="BA334" s="4"/>
      <c r="BB334" s="57"/>
      <c r="BC334" s="4"/>
      <c r="BD334" s="4"/>
      <c r="BE334" s="4"/>
      <c r="BF334" s="4"/>
      <c r="BG334" s="4"/>
      <c r="BH334" s="4"/>
      <c r="BI334" s="4"/>
    </row>
    <row r="335" spans="1:61" s="2" customFormat="1" x14ac:dyDescent="0.3">
      <c r="J335" s="57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57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1" t="s">
        <v>4</v>
      </c>
      <c r="AG335" s="46">
        <v>163</v>
      </c>
      <c r="AH335" s="4"/>
      <c r="AI335" s="4"/>
      <c r="AJ335" s="4"/>
      <c r="AK335" s="4"/>
      <c r="AL335" s="4"/>
      <c r="AM335" s="4"/>
      <c r="AN335" s="4"/>
      <c r="AO335" s="4"/>
      <c r="AP335" s="4"/>
      <c r="AQ335" s="1" t="s">
        <v>4</v>
      </c>
      <c r="AR335" s="46">
        <v>163</v>
      </c>
      <c r="AS335" s="4"/>
      <c r="AT335" s="4"/>
      <c r="AU335" s="4"/>
      <c r="AV335" s="4"/>
      <c r="AW335" s="4"/>
      <c r="AX335" s="4"/>
      <c r="AY335" s="4"/>
      <c r="AZ335" s="4"/>
      <c r="BA335" s="4"/>
      <c r="BB335" s="57"/>
      <c r="BC335" s="4"/>
      <c r="BD335" s="4"/>
      <c r="BE335" s="4"/>
      <c r="BF335" s="4"/>
      <c r="BG335" s="4"/>
      <c r="BH335" s="4"/>
      <c r="BI335" s="4"/>
    </row>
    <row r="336" spans="1:61" s="2" customFormat="1" x14ac:dyDescent="0.3">
      <c r="J336" s="57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57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1" t="s">
        <v>12</v>
      </c>
      <c r="AG336" s="46">
        <v>163</v>
      </c>
      <c r="AH336" s="4"/>
      <c r="AI336" s="4"/>
      <c r="AJ336" s="4"/>
      <c r="AK336" s="4"/>
      <c r="AL336" s="4"/>
      <c r="AM336" s="4"/>
      <c r="AN336" s="4"/>
      <c r="AO336" s="4"/>
      <c r="AP336" s="4"/>
      <c r="AQ336" s="1" t="s">
        <v>2</v>
      </c>
      <c r="AR336" s="46">
        <v>151</v>
      </c>
      <c r="AS336" s="4"/>
      <c r="AT336" s="4"/>
      <c r="AU336" s="4"/>
      <c r="AV336" s="4"/>
      <c r="AW336" s="4"/>
      <c r="AX336" s="4"/>
      <c r="AY336" s="4"/>
      <c r="AZ336" s="4"/>
      <c r="BA336" s="4"/>
      <c r="BB336" s="57"/>
      <c r="BC336" s="4"/>
      <c r="BD336" s="4"/>
      <c r="BE336" s="4"/>
      <c r="BF336" s="4"/>
      <c r="BG336" s="4"/>
      <c r="BH336" s="4"/>
      <c r="BI336" s="4"/>
    </row>
    <row r="337" spans="10:61" s="2" customFormat="1" x14ac:dyDescent="0.3">
      <c r="J337" s="57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57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1" t="s">
        <v>2</v>
      </c>
      <c r="AG337" s="46">
        <v>151</v>
      </c>
      <c r="AH337" s="4"/>
      <c r="AI337" s="4"/>
      <c r="AJ337" s="4"/>
      <c r="AK337" s="4"/>
      <c r="AL337" s="4"/>
      <c r="AM337" s="4"/>
      <c r="AN337" s="4"/>
      <c r="AO337" s="4"/>
      <c r="AP337" s="4"/>
      <c r="AQ337" s="1" t="s">
        <v>16</v>
      </c>
      <c r="AR337" s="46">
        <v>150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57"/>
      <c r="BC337" s="4"/>
      <c r="BD337" s="4"/>
      <c r="BE337" s="4"/>
      <c r="BF337" s="4"/>
      <c r="BG337" s="4"/>
      <c r="BH337" s="4"/>
      <c r="BI337" s="4"/>
    </row>
    <row r="338" spans="10:61" s="2" customFormat="1" x14ac:dyDescent="0.3">
      <c r="J338" s="57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57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1" t="s">
        <v>16</v>
      </c>
      <c r="AG338" s="46">
        <v>150</v>
      </c>
      <c r="AH338" s="4"/>
      <c r="AI338" s="4"/>
      <c r="AJ338" s="4"/>
      <c r="AK338" s="4"/>
      <c r="AL338" s="4"/>
      <c r="AM338" s="4"/>
      <c r="AN338" s="4"/>
      <c r="AO338" s="4"/>
      <c r="AP338" s="4"/>
      <c r="AQ338" s="1" t="s">
        <v>12</v>
      </c>
      <c r="AR338" s="46">
        <v>149</v>
      </c>
      <c r="AS338" s="4"/>
      <c r="AT338" s="4"/>
      <c r="AU338" s="4"/>
      <c r="AV338" s="4"/>
      <c r="AW338" s="4"/>
      <c r="AX338" s="4"/>
      <c r="AY338" s="4"/>
      <c r="AZ338" s="4"/>
      <c r="BA338" s="4"/>
      <c r="BB338" s="57"/>
      <c r="BC338" s="4"/>
      <c r="BD338" s="4"/>
      <c r="BE338" s="4"/>
      <c r="BF338" s="4"/>
      <c r="BG338" s="4"/>
      <c r="BH338" s="4"/>
      <c r="BI338" s="4"/>
    </row>
    <row r="339" spans="10:61" s="2" customFormat="1" x14ac:dyDescent="0.3">
      <c r="J339" s="57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57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1" t="s">
        <v>5</v>
      </c>
      <c r="AG339" s="46">
        <v>141</v>
      </c>
      <c r="AH339" s="4"/>
      <c r="AI339" s="4"/>
      <c r="AJ339" s="4"/>
      <c r="AK339" s="4"/>
      <c r="AL339" s="4"/>
      <c r="AM339" s="4"/>
      <c r="AN339" s="4"/>
      <c r="AO339" s="4"/>
      <c r="AP339" s="4"/>
      <c r="AQ339" s="1" t="s">
        <v>5</v>
      </c>
      <c r="AR339" s="46">
        <v>141</v>
      </c>
      <c r="AS339" s="4"/>
      <c r="AT339" s="4"/>
      <c r="AU339" s="4"/>
      <c r="AV339" s="4"/>
      <c r="AW339" s="4"/>
      <c r="AX339" s="4"/>
      <c r="AY339" s="4"/>
      <c r="AZ339" s="4"/>
      <c r="BA339" s="4"/>
      <c r="BB339" s="57"/>
      <c r="BC339" s="4"/>
      <c r="BD339" s="4"/>
      <c r="BE339" s="4"/>
      <c r="BF339" s="4"/>
      <c r="BG339" s="4"/>
      <c r="BH339" s="4"/>
      <c r="BI339" s="4"/>
    </row>
    <row r="340" spans="10:61" s="2" customFormat="1" x14ac:dyDescent="0.3">
      <c r="J340" s="57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57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13" t="s">
        <v>6</v>
      </c>
      <c r="AG340" s="68">
        <v>134</v>
      </c>
      <c r="AH340" s="4"/>
      <c r="AI340" s="4"/>
      <c r="AJ340" s="4"/>
      <c r="AK340" s="4"/>
      <c r="AL340" s="4"/>
      <c r="AM340" s="4"/>
      <c r="AN340" s="4"/>
      <c r="AO340" s="4"/>
      <c r="AP340" s="4"/>
      <c r="AQ340" s="13" t="s">
        <v>6</v>
      </c>
      <c r="AR340" s="68">
        <v>134</v>
      </c>
      <c r="AS340" s="4"/>
      <c r="AT340" s="4"/>
      <c r="AU340" s="4"/>
      <c r="AV340" s="4"/>
      <c r="AW340" s="4"/>
      <c r="AX340" s="4"/>
      <c r="AY340" s="4"/>
      <c r="AZ340" s="4"/>
      <c r="BA340" s="4"/>
      <c r="BB340" s="57"/>
      <c r="BC340" s="4"/>
      <c r="BD340" s="4"/>
      <c r="BE340" s="4"/>
      <c r="BF340" s="4"/>
      <c r="BG340" s="4"/>
      <c r="BH340" s="4"/>
      <c r="BI340" s="4"/>
    </row>
    <row r="341" spans="10:61" s="2" customFormat="1" x14ac:dyDescent="0.3">
      <c r="J341" s="57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57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57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57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57"/>
      <c r="BC341" s="4"/>
      <c r="BD341" s="4"/>
      <c r="BE341" s="4"/>
      <c r="BF341" s="4"/>
      <c r="BG341" s="4"/>
      <c r="BH341" s="4"/>
      <c r="BI341" s="4"/>
    </row>
    <row r="342" spans="10:61" s="2" customFormat="1" x14ac:dyDescent="0.3">
      <c r="J342" s="57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57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57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57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57"/>
      <c r="BC342" s="4"/>
      <c r="BD342" s="4"/>
      <c r="BE342" s="4"/>
      <c r="BF342" s="4"/>
      <c r="BG342" s="4"/>
      <c r="BH342" s="4"/>
      <c r="BI342" s="4"/>
    </row>
    <row r="343" spans="10:61" s="2" customFormat="1" x14ac:dyDescent="0.3">
      <c r="J343" s="57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57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57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57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57"/>
      <c r="BC343" s="4"/>
      <c r="BD343" s="4"/>
      <c r="BE343" s="4"/>
      <c r="BF343" s="4"/>
      <c r="BG343" s="4"/>
      <c r="BH343" s="4"/>
      <c r="BI343" s="4"/>
    </row>
    <row r="344" spans="10:61" s="2" customFormat="1" x14ac:dyDescent="0.3">
      <c r="J344" s="57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57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57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57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57"/>
      <c r="BC344" s="4"/>
      <c r="BD344" s="4"/>
      <c r="BE344" s="4"/>
      <c r="BF344" s="4"/>
      <c r="BG344" s="4"/>
      <c r="BH344" s="4"/>
      <c r="BI344" s="4"/>
    </row>
    <row r="345" spans="10:61" s="2" customFormat="1" x14ac:dyDescent="0.3">
      <c r="J345" s="57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57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57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57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57"/>
      <c r="BC345" s="4"/>
      <c r="BD345" s="4"/>
      <c r="BE345" s="4"/>
      <c r="BF345" s="4"/>
      <c r="BG345" s="4"/>
      <c r="BH345" s="4"/>
      <c r="BI345" s="4"/>
    </row>
    <row r="346" spans="10:61" s="2" customFormat="1" x14ac:dyDescent="0.3">
      <c r="J346" s="57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57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57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57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57"/>
      <c r="BC346" s="4"/>
      <c r="BD346" s="4"/>
      <c r="BE346" s="4"/>
      <c r="BF346" s="4"/>
      <c r="BG346" s="4"/>
      <c r="BH346" s="4"/>
      <c r="BI346" s="4"/>
    </row>
    <row r="347" spans="10:61" s="2" customFormat="1" x14ac:dyDescent="0.3">
      <c r="J347" s="57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57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57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57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57"/>
      <c r="BC347" s="4"/>
      <c r="BD347" s="4"/>
      <c r="BE347" s="4"/>
      <c r="BF347" s="4"/>
      <c r="BG347" s="4"/>
      <c r="BH347" s="4"/>
      <c r="BI347" s="4"/>
    </row>
    <row r="348" spans="10:61" s="2" customFormat="1" x14ac:dyDescent="0.3">
      <c r="J348" s="57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57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57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57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57"/>
      <c r="BC348" s="4"/>
      <c r="BD348" s="4"/>
      <c r="BE348" s="4"/>
      <c r="BF348" s="4"/>
      <c r="BG348" s="4"/>
      <c r="BH348" s="4"/>
      <c r="BI348" s="4"/>
    </row>
    <row r="349" spans="10:61" s="2" customFormat="1" x14ac:dyDescent="0.3">
      <c r="J349" s="57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57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57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57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57"/>
      <c r="BC349" s="4"/>
      <c r="BD349" s="4"/>
      <c r="BE349" s="4"/>
      <c r="BF349" s="4"/>
      <c r="BG349" s="4"/>
      <c r="BH349" s="4"/>
      <c r="BI349" s="4"/>
    </row>
    <row r="350" spans="10:61" s="2" customFormat="1" x14ac:dyDescent="0.3">
      <c r="J350" s="57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57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57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57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57"/>
      <c r="BC350" s="4"/>
      <c r="BD350" s="4"/>
      <c r="BE350" s="4"/>
      <c r="BF350" s="4"/>
      <c r="BG350" s="4"/>
      <c r="BH350" s="4"/>
      <c r="BI350" s="4"/>
    </row>
    <row r="351" spans="10:61" s="2" customFormat="1" x14ac:dyDescent="0.3">
      <c r="J351" s="57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57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57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57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57"/>
      <c r="BC351" s="4"/>
      <c r="BD351" s="4"/>
      <c r="BE351" s="4"/>
      <c r="BF351" s="4"/>
      <c r="BG351" s="4"/>
      <c r="BH351" s="4"/>
      <c r="BI351" s="4"/>
    </row>
    <row r="352" spans="10:61" s="2" customFormat="1" x14ac:dyDescent="0.3">
      <c r="J352" s="57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57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57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57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57"/>
      <c r="BC352" s="4"/>
      <c r="BD352" s="4"/>
      <c r="BE352" s="4"/>
      <c r="BF352" s="4"/>
      <c r="BG352" s="4"/>
      <c r="BH352" s="4"/>
      <c r="BI352" s="4"/>
    </row>
    <row r="353" spans="10:61" s="2" customFormat="1" x14ac:dyDescent="0.3">
      <c r="J353" s="57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57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57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57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57"/>
      <c r="BC353" s="4"/>
      <c r="BD353" s="4"/>
      <c r="BE353" s="4"/>
      <c r="BF353" s="4"/>
      <c r="BG353" s="4"/>
      <c r="BH353" s="4"/>
      <c r="BI353" s="4"/>
    </row>
    <row r="354" spans="10:61" s="2" customFormat="1" x14ac:dyDescent="0.3">
      <c r="J354" s="57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57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57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57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57"/>
      <c r="BC354" s="4"/>
      <c r="BD354" s="4"/>
      <c r="BE354" s="4"/>
      <c r="BF354" s="4"/>
      <c r="BG354" s="4"/>
      <c r="BH354" s="4"/>
      <c r="BI354" s="4"/>
    </row>
    <row r="355" spans="10:61" s="2" customFormat="1" x14ac:dyDescent="0.3">
      <c r="J355" s="57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57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57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57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57"/>
      <c r="BC355" s="4"/>
      <c r="BD355" s="4"/>
      <c r="BE355" s="4"/>
      <c r="BF355" s="4"/>
      <c r="BG355" s="4"/>
      <c r="BH355" s="4"/>
      <c r="BI355" s="4"/>
    </row>
    <row r="356" spans="10:61" s="2" customFormat="1" x14ac:dyDescent="0.3">
      <c r="J356" s="57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57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57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57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57"/>
      <c r="BC356" s="4"/>
      <c r="BD356" s="4"/>
      <c r="BE356" s="4"/>
      <c r="BF356" s="4"/>
      <c r="BG356" s="4"/>
      <c r="BH356" s="4"/>
      <c r="BI356" s="4"/>
    </row>
    <row r="357" spans="10:61" s="2" customFormat="1" x14ac:dyDescent="0.3">
      <c r="J357" s="57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57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57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57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57"/>
      <c r="BC357" s="4"/>
      <c r="BD357" s="4"/>
      <c r="BE357" s="4"/>
      <c r="BF357" s="4"/>
      <c r="BG357" s="4"/>
      <c r="BH357" s="4"/>
      <c r="BI357" s="4"/>
    </row>
    <row r="358" spans="10:61" s="2" customFormat="1" x14ac:dyDescent="0.3">
      <c r="J358" s="57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57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57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57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57"/>
      <c r="BC358" s="4"/>
      <c r="BD358" s="4"/>
      <c r="BE358" s="4"/>
      <c r="BF358" s="4"/>
      <c r="BG358" s="4"/>
      <c r="BH358" s="4"/>
      <c r="BI358" s="4"/>
    </row>
    <row r="359" spans="10:61" s="2" customFormat="1" x14ac:dyDescent="0.3">
      <c r="J359" s="57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57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57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57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57"/>
      <c r="BC359" s="4"/>
      <c r="BD359" s="4"/>
      <c r="BE359" s="4"/>
      <c r="BF359" s="4"/>
      <c r="BG359" s="4"/>
      <c r="BH359" s="4"/>
      <c r="BI359" s="4"/>
    </row>
    <row r="360" spans="10:61" s="2" customFormat="1" x14ac:dyDescent="0.3">
      <c r="J360" s="57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57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57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57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57"/>
      <c r="BC360" s="4"/>
      <c r="BD360" s="4"/>
      <c r="BE360" s="4"/>
      <c r="BF360" s="4"/>
      <c r="BG360" s="4"/>
      <c r="BH360" s="4"/>
      <c r="BI360" s="4"/>
    </row>
    <row r="361" spans="10:61" s="2" customFormat="1" x14ac:dyDescent="0.3">
      <c r="J361" s="57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57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57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57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57"/>
      <c r="BC361" s="4"/>
      <c r="BD361" s="4"/>
      <c r="BE361" s="4"/>
      <c r="BF361" s="4"/>
      <c r="BG361" s="4"/>
      <c r="BH361" s="4"/>
      <c r="BI361" s="4"/>
    </row>
    <row r="362" spans="10:61" s="2" customFormat="1" x14ac:dyDescent="0.3">
      <c r="J362" s="57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57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57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57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57"/>
      <c r="BC362" s="4"/>
      <c r="BD362" s="4"/>
      <c r="BE362" s="4"/>
      <c r="BF362" s="4"/>
      <c r="BG362" s="4"/>
      <c r="BH362" s="4"/>
      <c r="BI362" s="4"/>
    </row>
    <row r="363" spans="10:61" s="2" customFormat="1" x14ac:dyDescent="0.3">
      <c r="J363" s="57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57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57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57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57"/>
      <c r="BC363" s="4"/>
      <c r="BD363" s="4"/>
      <c r="BE363" s="4"/>
      <c r="BF363" s="4"/>
      <c r="BG363" s="4"/>
      <c r="BH363" s="4"/>
      <c r="BI363" s="4"/>
    </row>
    <row r="364" spans="10:61" s="2" customFormat="1" x14ac:dyDescent="0.3">
      <c r="J364" s="57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57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57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57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57"/>
      <c r="BC364" s="4"/>
      <c r="BD364" s="4"/>
      <c r="BE364" s="4"/>
      <c r="BF364" s="4"/>
      <c r="BG364" s="4"/>
      <c r="BH364" s="4"/>
      <c r="BI364" s="4"/>
    </row>
    <row r="365" spans="10:61" s="2" customFormat="1" x14ac:dyDescent="0.3">
      <c r="J365" s="57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57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57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57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57"/>
      <c r="BC365" s="4"/>
      <c r="BD365" s="4"/>
      <c r="BE365" s="4"/>
      <c r="BF365" s="4"/>
      <c r="BG365" s="4"/>
      <c r="BH365" s="4"/>
      <c r="BI365" s="4"/>
    </row>
    <row r="366" spans="10:61" s="2" customFormat="1" x14ac:dyDescent="0.3">
      <c r="J366" s="57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57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57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57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57"/>
      <c r="BC366" s="4"/>
      <c r="BD366" s="4"/>
      <c r="BE366" s="4"/>
      <c r="BF366" s="4"/>
      <c r="BG366" s="4"/>
      <c r="BH366" s="4"/>
      <c r="BI366" s="4"/>
    </row>
    <row r="367" spans="10:61" s="2" customFormat="1" x14ac:dyDescent="0.3">
      <c r="J367" s="57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57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57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57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57"/>
      <c r="BC367" s="4"/>
      <c r="BD367" s="4"/>
      <c r="BE367" s="4"/>
      <c r="BF367" s="4"/>
      <c r="BG367" s="4"/>
      <c r="BH367" s="4"/>
      <c r="BI367" s="4"/>
    </row>
    <row r="368" spans="10:61" s="2" customFormat="1" x14ac:dyDescent="0.3">
      <c r="J368" s="57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57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57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57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57"/>
      <c r="BC368" s="4"/>
      <c r="BD368" s="4"/>
      <c r="BE368" s="4"/>
      <c r="BF368" s="4"/>
      <c r="BG368" s="4"/>
      <c r="BH368" s="4"/>
      <c r="BI368" s="4"/>
    </row>
    <row r="369" spans="10:61" s="2" customFormat="1" x14ac:dyDescent="0.3">
      <c r="J369" s="57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57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57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57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57"/>
      <c r="BC369" s="4"/>
      <c r="BD369" s="4"/>
      <c r="BE369" s="4"/>
      <c r="BF369" s="4"/>
      <c r="BG369" s="4"/>
      <c r="BH369" s="4"/>
      <c r="BI369" s="4"/>
    </row>
    <row r="370" spans="10:61" s="2" customFormat="1" x14ac:dyDescent="0.3">
      <c r="J370" s="57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57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57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57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57"/>
      <c r="BC370" s="4"/>
      <c r="BD370" s="4"/>
      <c r="BE370" s="4"/>
      <c r="BF370" s="4"/>
      <c r="BG370" s="4"/>
      <c r="BH370" s="4"/>
      <c r="BI370" s="4"/>
    </row>
    <row r="371" spans="10:61" s="2" customFormat="1" x14ac:dyDescent="0.3">
      <c r="J371" s="57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57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57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57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57"/>
      <c r="BC371" s="4"/>
      <c r="BD371" s="4"/>
      <c r="BE371" s="4"/>
      <c r="BF371" s="4"/>
      <c r="BG371" s="4"/>
      <c r="BH371" s="4"/>
      <c r="BI371" s="4"/>
    </row>
    <row r="372" spans="10:61" s="2" customFormat="1" x14ac:dyDescent="0.3">
      <c r="J372" s="57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57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57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57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57"/>
      <c r="BC372" s="4"/>
      <c r="BD372" s="4"/>
      <c r="BE372" s="4"/>
      <c r="BF372" s="4"/>
      <c r="BG372" s="4"/>
      <c r="BH372" s="4"/>
      <c r="BI372" s="4"/>
    </row>
    <row r="373" spans="10:61" s="2" customFormat="1" x14ac:dyDescent="0.3">
      <c r="J373" s="57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57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57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57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57"/>
      <c r="BC373" s="4"/>
      <c r="BD373" s="4"/>
      <c r="BE373" s="4"/>
      <c r="BF373" s="4"/>
      <c r="BG373" s="4"/>
      <c r="BH373" s="4"/>
      <c r="BI373" s="4"/>
    </row>
    <row r="374" spans="10:61" s="2" customFormat="1" x14ac:dyDescent="0.3">
      <c r="J374" s="57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57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57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57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57"/>
      <c r="BC374" s="4"/>
      <c r="BD374" s="4"/>
      <c r="BE374" s="4"/>
      <c r="BF374" s="4"/>
      <c r="BG374" s="4"/>
      <c r="BH374" s="4"/>
      <c r="BI374" s="4"/>
    </row>
    <row r="375" spans="10:61" s="2" customFormat="1" x14ac:dyDescent="0.3">
      <c r="J375" s="57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57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57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57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57"/>
      <c r="BC375" s="4"/>
      <c r="BD375" s="4"/>
      <c r="BE375" s="4"/>
      <c r="BF375" s="4"/>
      <c r="BG375" s="4"/>
      <c r="BH375" s="4"/>
      <c r="BI375" s="4"/>
    </row>
    <row r="376" spans="10:61" s="2" customFormat="1" x14ac:dyDescent="0.3">
      <c r="J376" s="57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57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57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57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57"/>
      <c r="BC376" s="4"/>
      <c r="BD376" s="4"/>
      <c r="BE376" s="4"/>
      <c r="BF376" s="4"/>
      <c r="BG376" s="4"/>
      <c r="BH376" s="4"/>
      <c r="BI376" s="4"/>
    </row>
    <row r="377" spans="10:61" s="2" customFormat="1" x14ac:dyDescent="0.3">
      <c r="J377" s="57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57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57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57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57"/>
      <c r="BC377" s="4"/>
      <c r="BD377" s="4"/>
      <c r="BE377" s="4"/>
      <c r="BF377" s="4"/>
      <c r="BG377" s="4"/>
      <c r="BH377" s="4"/>
      <c r="BI377" s="4"/>
    </row>
    <row r="378" spans="10:61" s="2" customFormat="1" x14ac:dyDescent="0.3">
      <c r="J378" s="57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57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57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57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57"/>
      <c r="BC378" s="4"/>
      <c r="BD378" s="4"/>
      <c r="BE378" s="4"/>
      <c r="BF378" s="4"/>
      <c r="BG378" s="4"/>
      <c r="BH378" s="4"/>
      <c r="BI378" s="4"/>
    </row>
    <row r="379" spans="10:61" s="2" customFormat="1" x14ac:dyDescent="0.3">
      <c r="J379" s="57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57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57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57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57"/>
      <c r="BC379" s="4"/>
      <c r="BD379" s="4"/>
      <c r="BE379" s="4"/>
      <c r="BF379" s="4"/>
      <c r="BG379" s="4"/>
      <c r="BH379" s="4"/>
      <c r="BI379" s="4"/>
    </row>
    <row r="380" spans="10:61" s="2" customFormat="1" x14ac:dyDescent="0.3">
      <c r="J380" s="57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57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57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57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57"/>
      <c r="BC380" s="4"/>
      <c r="BD380" s="4"/>
      <c r="BE380" s="4"/>
      <c r="BF380" s="4"/>
      <c r="BG380" s="4"/>
      <c r="BH380" s="4"/>
      <c r="BI380" s="4"/>
    </row>
    <row r="381" spans="10:61" s="2" customFormat="1" x14ac:dyDescent="0.3">
      <c r="J381" s="57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57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57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57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57"/>
      <c r="BC381" s="4"/>
      <c r="BD381" s="4"/>
      <c r="BE381" s="4"/>
      <c r="BF381" s="4"/>
      <c r="BG381" s="4"/>
      <c r="BH381" s="4"/>
      <c r="BI381" s="4"/>
    </row>
    <row r="382" spans="10:61" s="2" customFormat="1" x14ac:dyDescent="0.3">
      <c r="J382" s="57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57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57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57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57"/>
      <c r="BC382" s="4"/>
      <c r="BD382" s="4"/>
      <c r="BE382" s="4"/>
      <c r="BF382" s="4"/>
      <c r="BG382" s="4"/>
      <c r="BH382" s="4"/>
      <c r="BI382" s="4"/>
    </row>
    <row r="383" spans="10:61" s="2" customFormat="1" x14ac:dyDescent="0.3">
      <c r="J383" s="57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57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57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57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57"/>
      <c r="BC383" s="4"/>
      <c r="BD383" s="4"/>
      <c r="BE383" s="4"/>
      <c r="BF383" s="4"/>
      <c r="BG383" s="4"/>
      <c r="BH383" s="4"/>
      <c r="BI383" s="4"/>
    </row>
    <row r="384" spans="10:61" s="2" customFormat="1" x14ac:dyDescent="0.3">
      <c r="J384" s="57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5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57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57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57"/>
      <c r="BC384" s="4"/>
      <c r="BD384" s="4"/>
      <c r="BE384" s="4"/>
      <c r="BF384" s="4"/>
      <c r="BG384" s="4"/>
      <c r="BH384" s="4"/>
      <c r="BI384" s="4"/>
    </row>
    <row r="385" spans="10:61" s="2" customFormat="1" x14ac:dyDescent="0.3">
      <c r="J385" s="57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57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57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57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57"/>
      <c r="BC385" s="4"/>
      <c r="BD385" s="4"/>
      <c r="BE385" s="4"/>
      <c r="BF385" s="4"/>
      <c r="BG385" s="4"/>
      <c r="BH385" s="4"/>
      <c r="BI385" s="4"/>
    </row>
    <row r="386" spans="10:61" s="2" customFormat="1" x14ac:dyDescent="0.3">
      <c r="J386" s="57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57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57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57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57"/>
      <c r="BC386" s="4"/>
      <c r="BD386" s="4"/>
      <c r="BE386" s="4"/>
      <c r="BF386" s="4"/>
      <c r="BG386" s="4"/>
      <c r="BH386" s="4"/>
      <c r="BI386" s="4"/>
    </row>
    <row r="387" spans="10:61" s="2" customFormat="1" x14ac:dyDescent="0.3">
      <c r="J387" s="57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57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57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57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57"/>
      <c r="BC387" s="4"/>
      <c r="BD387" s="4"/>
      <c r="BE387" s="4"/>
      <c r="BF387" s="4"/>
      <c r="BG387" s="4"/>
      <c r="BH387" s="4"/>
      <c r="BI387" s="4"/>
    </row>
    <row r="388" spans="10:61" s="2" customFormat="1" x14ac:dyDescent="0.3">
      <c r="J388" s="57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57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57"/>
      <c r="AG388" s="4"/>
      <c r="AH388" s="4"/>
      <c r="AI388" s="4"/>
      <c r="AJ388" s="4"/>
      <c r="AK388" s="4"/>
      <c r="AL388" s="4"/>
      <c r="AM388" s="4"/>
      <c r="AN388" s="4"/>
      <c r="AO388" s="4"/>
      <c r="AP388" s="4"/>
      <c r="AQ388" s="57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57"/>
      <c r="BC388" s="4"/>
      <c r="BD388" s="4"/>
      <c r="BE388" s="4"/>
      <c r="BF388" s="4"/>
      <c r="BG388" s="4"/>
      <c r="BH388" s="4"/>
      <c r="BI388" s="4"/>
    </row>
    <row r="389" spans="10:61" s="2" customFormat="1" x14ac:dyDescent="0.3">
      <c r="J389" s="57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57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57"/>
      <c r="AG389" s="4"/>
      <c r="AH389" s="4"/>
      <c r="AI389" s="4"/>
      <c r="AJ389" s="4"/>
      <c r="AK389" s="4"/>
      <c r="AL389" s="4"/>
      <c r="AM389" s="4"/>
      <c r="AN389" s="4"/>
      <c r="AO389" s="4"/>
      <c r="AP389" s="4"/>
      <c r="AQ389" s="57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57"/>
      <c r="BC389" s="4"/>
      <c r="BD389" s="4"/>
      <c r="BE389" s="4"/>
      <c r="BF389" s="4"/>
      <c r="BG389" s="4"/>
      <c r="BH389" s="4"/>
      <c r="BI389" s="4"/>
    </row>
    <row r="390" spans="10:61" s="2" customFormat="1" x14ac:dyDescent="0.3">
      <c r="J390" s="57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57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57"/>
      <c r="AG390" s="4"/>
      <c r="AH390" s="4"/>
      <c r="AI390" s="4"/>
      <c r="AJ390" s="4"/>
      <c r="AK390" s="4"/>
      <c r="AL390" s="4"/>
      <c r="AM390" s="4"/>
      <c r="AN390" s="4"/>
      <c r="AO390" s="4"/>
      <c r="AP390" s="4"/>
      <c r="AQ390" s="57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57"/>
      <c r="BC390" s="4"/>
      <c r="BD390" s="4"/>
      <c r="BE390" s="4"/>
      <c r="BF390" s="4"/>
      <c r="BG390" s="4"/>
      <c r="BH390" s="4"/>
      <c r="BI390" s="4"/>
    </row>
    <row r="391" spans="10:61" s="2" customFormat="1" x14ac:dyDescent="0.3">
      <c r="J391" s="57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57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57"/>
      <c r="AG391" s="4"/>
      <c r="AH391" s="4"/>
      <c r="AI391" s="4"/>
      <c r="AJ391" s="4"/>
      <c r="AK391" s="4"/>
      <c r="AL391" s="4"/>
      <c r="AM391" s="4"/>
      <c r="AN391" s="4"/>
      <c r="AO391" s="4"/>
      <c r="AP391" s="4"/>
      <c r="AQ391" s="57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57"/>
      <c r="BC391" s="4"/>
      <c r="BD391" s="4"/>
      <c r="BE391" s="4"/>
      <c r="BF391" s="4"/>
      <c r="BG391" s="4"/>
      <c r="BH391" s="4"/>
      <c r="BI391" s="4"/>
    </row>
    <row r="392" spans="10:61" s="2" customFormat="1" x14ac:dyDescent="0.3">
      <c r="J392" s="57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57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57"/>
      <c r="AG392" s="4"/>
      <c r="AH392" s="4"/>
      <c r="AI392" s="4"/>
      <c r="AJ392" s="4"/>
      <c r="AK392" s="4"/>
      <c r="AL392" s="4"/>
      <c r="AM392" s="4"/>
      <c r="AN392" s="4"/>
      <c r="AO392" s="4"/>
      <c r="AP392" s="4"/>
      <c r="AQ392" s="57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57"/>
      <c r="BC392" s="4"/>
      <c r="BD392" s="4"/>
      <c r="BE392" s="4"/>
      <c r="BF392" s="4"/>
      <c r="BG392" s="4"/>
      <c r="BH392" s="4"/>
      <c r="BI392" s="4"/>
    </row>
    <row r="393" spans="10:61" s="2" customFormat="1" x14ac:dyDescent="0.3">
      <c r="J393" s="57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57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57"/>
      <c r="AG393" s="4"/>
      <c r="AH393" s="4"/>
      <c r="AI393" s="4"/>
      <c r="AJ393" s="4"/>
      <c r="AK393" s="4"/>
      <c r="AL393" s="4"/>
      <c r="AM393" s="4"/>
      <c r="AN393" s="4"/>
      <c r="AO393" s="4"/>
      <c r="AP393" s="4"/>
      <c r="AQ393" s="57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57"/>
      <c r="BC393" s="4"/>
      <c r="BD393" s="4"/>
      <c r="BE393" s="4"/>
      <c r="BF393" s="4"/>
      <c r="BG393" s="4"/>
      <c r="BH393" s="4"/>
      <c r="BI393" s="4"/>
    </row>
    <row r="394" spans="10:61" s="2" customFormat="1" x14ac:dyDescent="0.3">
      <c r="J394" s="57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57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57"/>
      <c r="AG394" s="4"/>
      <c r="AH394" s="4"/>
      <c r="AI394" s="4"/>
      <c r="AJ394" s="4"/>
      <c r="AK394" s="4"/>
      <c r="AL394" s="4"/>
      <c r="AM394" s="4"/>
      <c r="AN394" s="4"/>
      <c r="AO394" s="4"/>
      <c r="AP394" s="4"/>
      <c r="AQ394" s="57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57"/>
      <c r="BC394" s="4"/>
      <c r="BD394" s="4"/>
      <c r="BE394" s="4"/>
      <c r="BF394" s="4"/>
      <c r="BG394" s="4"/>
      <c r="BH394" s="4"/>
      <c r="BI394" s="4"/>
    </row>
    <row r="395" spans="10:61" s="2" customFormat="1" x14ac:dyDescent="0.3">
      <c r="J395" s="57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57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57"/>
      <c r="AG395" s="4"/>
      <c r="AH395" s="4"/>
      <c r="AI395" s="4"/>
      <c r="AJ395" s="4"/>
      <c r="AK395" s="4"/>
      <c r="AL395" s="4"/>
      <c r="AM395" s="4"/>
      <c r="AN395" s="4"/>
      <c r="AO395" s="4"/>
      <c r="AP395" s="4"/>
      <c r="AQ395" s="57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57"/>
      <c r="BC395" s="4"/>
      <c r="BD395" s="4"/>
      <c r="BE395" s="4"/>
      <c r="BF395" s="4"/>
      <c r="BG395" s="4"/>
      <c r="BH395" s="4"/>
      <c r="BI395" s="4"/>
    </row>
    <row r="396" spans="10:61" s="2" customFormat="1" x14ac:dyDescent="0.3">
      <c r="J396" s="57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57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57"/>
      <c r="AG396" s="4"/>
      <c r="AH396" s="4"/>
      <c r="AI396" s="4"/>
      <c r="AJ396" s="4"/>
      <c r="AK396" s="4"/>
      <c r="AL396" s="4"/>
      <c r="AM396" s="4"/>
      <c r="AN396" s="4"/>
      <c r="AO396" s="4"/>
      <c r="AP396" s="4"/>
      <c r="AQ396" s="57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57"/>
      <c r="BC396" s="4"/>
      <c r="BD396" s="4"/>
      <c r="BE396" s="4"/>
      <c r="BF396" s="4"/>
      <c r="BG396" s="4"/>
      <c r="BH396" s="4"/>
      <c r="BI396" s="4"/>
    </row>
    <row r="397" spans="10:61" s="2" customFormat="1" x14ac:dyDescent="0.3">
      <c r="J397" s="57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57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57"/>
      <c r="AG397" s="4"/>
      <c r="AH397" s="4"/>
      <c r="AI397" s="4"/>
      <c r="AJ397" s="4"/>
      <c r="AK397" s="4"/>
      <c r="AL397" s="4"/>
      <c r="AM397" s="4"/>
      <c r="AN397" s="4"/>
      <c r="AO397" s="4"/>
      <c r="AP397" s="4"/>
      <c r="AQ397" s="57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57"/>
      <c r="BC397" s="4"/>
      <c r="BD397" s="4"/>
      <c r="BE397" s="4"/>
      <c r="BF397" s="4"/>
      <c r="BG397" s="4"/>
      <c r="BH397" s="4"/>
      <c r="BI397" s="4"/>
    </row>
    <row r="398" spans="10:61" s="2" customFormat="1" x14ac:dyDescent="0.3">
      <c r="J398" s="57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57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57"/>
      <c r="AG398" s="4"/>
      <c r="AH398" s="4"/>
      <c r="AI398" s="4"/>
      <c r="AJ398" s="4"/>
      <c r="AK398" s="4"/>
      <c r="AL398" s="4"/>
      <c r="AM398" s="4"/>
      <c r="AN398" s="4"/>
      <c r="AO398" s="4"/>
      <c r="AP398" s="4"/>
      <c r="AQ398" s="57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57"/>
      <c r="BC398" s="4"/>
      <c r="BD398" s="4"/>
      <c r="BE398" s="4"/>
      <c r="BF398" s="4"/>
      <c r="BG398" s="4"/>
      <c r="BH398" s="4"/>
      <c r="BI398" s="4"/>
    </row>
    <row r="399" spans="10:61" s="2" customFormat="1" x14ac:dyDescent="0.3">
      <c r="J399" s="57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57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57"/>
      <c r="AG399" s="4"/>
      <c r="AH399" s="4"/>
      <c r="AI399" s="4"/>
      <c r="AJ399" s="4"/>
      <c r="AK399" s="4"/>
      <c r="AL399" s="4"/>
      <c r="AM399" s="4"/>
      <c r="AN399" s="4"/>
      <c r="AO399" s="4"/>
      <c r="AP399" s="4"/>
      <c r="AQ399" s="57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57"/>
      <c r="BC399" s="4"/>
      <c r="BD399" s="4"/>
      <c r="BE399" s="4"/>
      <c r="BF399" s="4"/>
      <c r="BG399" s="4"/>
      <c r="BH399" s="4"/>
      <c r="BI399" s="4"/>
    </row>
    <row r="400" spans="10:61" s="2" customFormat="1" x14ac:dyDescent="0.3">
      <c r="J400" s="57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57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57"/>
      <c r="AG400" s="4"/>
      <c r="AH400" s="4"/>
      <c r="AI400" s="4"/>
      <c r="AJ400" s="4"/>
      <c r="AK400" s="4"/>
      <c r="AL400" s="4"/>
      <c r="AM400" s="4"/>
      <c r="AN400" s="4"/>
      <c r="AO400" s="4"/>
      <c r="AP400" s="4"/>
      <c r="AQ400" s="57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57"/>
      <c r="BC400" s="4"/>
      <c r="BD400" s="4"/>
      <c r="BE400" s="4"/>
      <c r="BF400" s="4"/>
      <c r="BG400" s="4"/>
      <c r="BH400" s="4"/>
      <c r="BI400" s="4"/>
    </row>
    <row r="401" spans="10:61" s="2" customFormat="1" x14ac:dyDescent="0.3">
      <c r="J401" s="57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57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57"/>
      <c r="AG401" s="4"/>
      <c r="AH401" s="4"/>
      <c r="AI401" s="4"/>
      <c r="AJ401" s="4"/>
      <c r="AK401" s="4"/>
      <c r="AL401" s="4"/>
      <c r="AM401" s="4"/>
      <c r="AN401" s="4"/>
      <c r="AO401" s="4"/>
      <c r="AP401" s="4"/>
      <c r="AQ401" s="57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57"/>
      <c r="BC401" s="4"/>
      <c r="BD401" s="4"/>
      <c r="BE401" s="4"/>
      <c r="BF401" s="4"/>
      <c r="BG401" s="4"/>
      <c r="BH401" s="4"/>
      <c r="BI401" s="4"/>
    </row>
    <row r="402" spans="10:61" s="2" customFormat="1" x14ac:dyDescent="0.3">
      <c r="J402" s="57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57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57"/>
      <c r="AG402" s="4"/>
      <c r="AH402" s="4"/>
      <c r="AI402" s="4"/>
      <c r="AJ402" s="4"/>
      <c r="AK402" s="4"/>
      <c r="AL402" s="4"/>
      <c r="AM402" s="4"/>
      <c r="AN402" s="4"/>
      <c r="AO402" s="4"/>
      <c r="AP402" s="4"/>
      <c r="AQ402" s="57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57"/>
      <c r="BC402" s="4"/>
      <c r="BD402" s="4"/>
      <c r="BE402" s="4"/>
      <c r="BF402" s="4"/>
      <c r="BG402" s="4"/>
      <c r="BH402" s="4"/>
      <c r="BI402" s="4"/>
    </row>
    <row r="403" spans="10:61" s="2" customFormat="1" x14ac:dyDescent="0.3">
      <c r="J403" s="57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57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57"/>
      <c r="AG403" s="4"/>
      <c r="AH403" s="4"/>
      <c r="AI403" s="4"/>
      <c r="AJ403" s="4"/>
      <c r="AK403" s="4"/>
      <c r="AL403" s="4"/>
      <c r="AM403" s="4"/>
      <c r="AN403" s="4"/>
      <c r="AO403" s="4"/>
      <c r="AP403" s="4"/>
      <c r="AQ403" s="57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57"/>
      <c r="BC403" s="4"/>
      <c r="BD403" s="4"/>
      <c r="BE403" s="4"/>
      <c r="BF403" s="4"/>
      <c r="BG403" s="4"/>
      <c r="BH403" s="4"/>
      <c r="BI403" s="4"/>
    </row>
    <row r="404" spans="10:61" s="2" customFormat="1" x14ac:dyDescent="0.3">
      <c r="J404" s="57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57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57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57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57"/>
      <c r="BC404" s="4"/>
      <c r="BD404" s="4"/>
      <c r="BE404" s="4"/>
      <c r="BF404" s="4"/>
      <c r="BG404" s="4"/>
      <c r="BH404" s="4"/>
      <c r="BI404" s="4"/>
    </row>
    <row r="405" spans="10:61" s="2" customFormat="1" x14ac:dyDescent="0.3">
      <c r="J405" s="57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57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57"/>
      <c r="AG405" s="4"/>
      <c r="AH405" s="4"/>
      <c r="AI405" s="4"/>
      <c r="AJ405" s="4"/>
      <c r="AK405" s="4"/>
      <c r="AL405" s="4"/>
      <c r="AM405" s="4"/>
      <c r="AN405" s="4"/>
      <c r="AO405" s="4"/>
      <c r="AP405" s="4"/>
      <c r="AQ405" s="57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57"/>
      <c r="BC405" s="4"/>
      <c r="BD405" s="4"/>
      <c r="BE405" s="4"/>
      <c r="BF405" s="4"/>
      <c r="BG405" s="4"/>
      <c r="BH405" s="4"/>
      <c r="BI405" s="4"/>
    </row>
    <row r="406" spans="10:61" s="2" customFormat="1" x14ac:dyDescent="0.3">
      <c r="J406" s="57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57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57"/>
      <c r="AG406" s="4"/>
      <c r="AH406" s="4"/>
      <c r="AI406" s="4"/>
      <c r="AJ406" s="4"/>
      <c r="AK406" s="4"/>
      <c r="AL406" s="4"/>
      <c r="AM406" s="4"/>
      <c r="AN406" s="4"/>
      <c r="AO406" s="4"/>
      <c r="AP406" s="4"/>
      <c r="AQ406" s="57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57"/>
      <c r="BC406" s="4"/>
      <c r="BD406" s="4"/>
      <c r="BE406" s="4"/>
      <c r="BF406" s="4"/>
      <c r="BG406" s="4"/>
      <c r="BH406" s="4"/>
      <c r="BI406" s="4"/>
    </row>
    <row r="407" spans="10:61" s="2" customFormat="1" x14ac:dyDescent="0.3">
      <c r="J407" s="57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57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57"/>
      <c r="AG407" s="4"/>
      <c r="AH407" s="4"/>
      <c r="AI407" s="4"/>
      <c r="AJ407" s="4"/>
      <c r="AK407" s="4"/>
      <c r="AL407" s="4"/>
      <c r="AM407" s="4"/>
      <c r="AN407" s="4"/>
      <c r="AO407" s="4"/>
      <c r="AP407" s="4"/>
      <c r="AQ407" s="57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57"/>
      <c r="BC407" s="4"/>
      <c r="BD407" s="4"/>
      <c r="BE407" s="4"/>
      <c r="BF407" s="4"/>
      <c r="BG407" s="4"/>
      <c r="BH407" s="4"/>
      <c r="BI407" s="4"/>
    </row>
    <row r="408" spans="10:61" s="2" customFormat="1" x14ac:dyDescent="0.3">
      <c r="J408" s="57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57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57"/>
      <c r="AG408" s="4"/>
      <c r="AH408" s="4"/>
      <c r="AI408" s="4"/>
      <c r="AJ408" s="4"/>
      <c r="AK408" s="4"/>
      <c r="AL408" s="4"/>
      <c r="AM408" s="4"/>
      <c r="AN408" s="4"/>
      <c r="AO408" s="4"/>
      <c r="AP408" s="4"/>
      <c r="AQ408" s="57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57"/>
      <c r="BC408" s="4"/>
      <c r="BD408" s="4"/>
      <c r="BE408" s="4"/>
      <c r="BF408" s="4"/>
      <c r="BG408" s="4"/>
      <c r="BH408" s="4"/>
      <c r="BI408" s="4"/>
    </row>
    <row r="409" spans="10:61" s="2" customFormat="1" x14ac:dyDescent="0.3">
      <c r="J409" s="57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57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57"/>
      <c r="AG409" s="4"/>
      <c r="AH409" s="4"/>
      <c r="AI409" s="4"/>
      <c r="AJ409" s="4"/>
      <c r="AK409" s="4"/>
      <c r="AL409" s="4"/>
      <c r="AM409" s="4"/>
      <c r="AN409" s="4"/>
      <c r="AO409" s="4"/>
      <c r="AP409" s="4"/>
      <c r="AQ409" s="57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57"/>
      <c r="BC409" s="4"/>
      <c r="BD409" s="4"/>
      <c r="BE409" s="4"/>
      <c r="BF409" s="4"/>
      <c r="BG409" s="4"/>
      <c r="BH409" s="4"/>
      <c r="BI409" s="4"/>
    </row>
    <row r="410" spans="10:61" s="2" customFormat="1" x14ac:dyDescent="0.3">
      <c r="J410" s="57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57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57"/>
      <c r="AG410" s="4"/>
      <c r="AH410" s="4"/>
      <c r="AI410" s="4"/>
      <c r="AJ410" s="4"/>
      <c r="AK410" s="4"/>
      <c r="AL410" s="4"/>
      <c r="AM410" s="4"/>
      <c r="AN410" s="4"/>
      <c r="AO410" s="4"/>
      <c r="AP410" s="4"/>
      <c r="AQ410" s="57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57"/>
      <c r="BC410" s="4"/>
      <c r="BD410" s="4"/>
      <c r="BE410" s="4"/>
      <c r="BF410" s="4"/>
      <c r="BG410" s="4"/>
      <c r="BH410" s="4"/>
      <c r="BI410" s="4"/>
    </row>
    <row r="411" spans="10:61" s="2" customFormat="1" x14ac:dyDescent="0.3">
      <c r="J411" s="57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57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57"/>
      <c r="AG411" s="4"/>
      <c r="AH411" s="4"/>
      <c r="AI411" s="4"/>
      <c r="AJ411" s="4"/>
      <c r="AK411" s="4"/>
      <c r="AL411" s="4"/>
      <c r="AM411" s="4"/>
      <c r="AN411" s="4"/>
      <c r="AO411" s="4"/>
      <c r="AP411" s="4"/>
      <c r="AQ411" s="57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57"/>
      <c r="BC411" s="4"/>
      <c r="BD411" s="4"/>
      <c r="BE411" s="4"/>
      <c r="BF411" s="4"/>
      <c r="BG411" s="4"/>
      <c r="BH411" s="4"/>
      <c r="BI411" s="4"/>
    </row>
    <row r="412" spans="10:61" s="2" customFormat="1" x14ac:dyDescent="0.3">
      <c r="J412" s="57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57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57"/>
      <c r="AG412" s="4"/>
      <c r="AH412" s="4"/>
      <c r="AI412" s="4"/>
      <c r="AJ412" s="4"/>
      <c r="AK412" s="4"/>
      <c r="AL412" s="4"/>
      <c r="AM412" s="4"/>
      <c r="AN412" s="4"/>
      <c r="AO412" s="4"/>
      <c r="AP412" s="4"/>
      <c r="AQ412" s="57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57"/>
      <c r="BC412" s="4"/>
      <c r="BD412" s="4"/>
      <c r="BE412" s="4"/>
      <c r="BF412" s="4"/>
      <c r="BG412" s="4"/>
      <c r="BH412" s="4"/>
      <c r="BI412" s="4"/>
    </row>
    <row r="413" spans="10:61" s="2" customFormat="1" x14ac:dyDescent="0.3">
      <c r="J413" s="57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57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57"/>
      <c r="AG413" s="4"/>
      <c r="AH413" s="4"/>
      <c r="AI413" s="4"/>
      <c r="AJ413" s="4"/>
      <c r="AK413" s="4"/>
      <c r="AL413" s="4"/>
      <c r="AM413" s="4"/>
      <c r="AN413" s="4"/>
      <c r="AO413" s="4"/>
      <c r="AP413" s="4"/>
      <c r="AQ413" s="57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57"/>
      <c r="BC413" s="4"/>
      <c r="BD413" s="4"/>
      <c r="BE413" s="4"/>
      <c r="BF413" s="4"/>
      <c r="BG413" s="4"/>
      <c r="BH413" s="4"/>
      <c r="BI413" s="4"/>
    </row>
    <row r="414" spans="10:61" s="2" customFormat="1" x14ac:dyDescent="0.3">
      <c r="J414" s="57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57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57"/>
      <c r="AG414" s="4"/>
      <c r="AH414" s="4"/>
      <c r="AI414" s="4"/>
      <c r="AJ414" s="4"/>
      <c r="AK414" s="4"/>
      <c r="AL414" s="4"/>
      <c r="AM414" s="4"/>
      <c r="AN414" s="4"/>
      <c r="AO414" s="4"/>
      <c r="AP414" s="4"/>
      <c r="AQ414" s="57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57"/>
      <c r="BC414" s="4"/>
      <c r="BD414" s="4"/>
      <c r="BE414" s="4"/>
      <c r="BF414" s="4"/>
      <c r="BG414" s="4"/>
      <c r="BH414" s="4"/>
      <c r="BI414" s="4"/>
    </row>
    <row r="415" spans="10:61" s="2" customFormat="1" x14ac:dyDescent="0.3">
      <c r="J415" s="57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57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57"/>
      <c r="AG415" s="4"/>
      <c r="AH415" s="4"/>
      <c r="AI415" s="4"/>
      <c r="AJ415" s="4"/>
      <c r="AK415" s="4"/>
      <c r="AL415" s="4"/>
      <c r="AM415" s="4"/>
      <c r="AN415" s="4"/>
      <c r="AO415" s="4"/>
      <c r="AP415" s="4"/>
      <c r="AQ415" s="57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57"/>
      <c r="BC415" s="4"/>
      <c r="BD415" s="4"/>
      <c r="BE415" s="4"/>
      <c r="BF415" s="4"/>
      <c r="BG415" s="4"/>
      <c r="BH415" s="4"/>
      <c r="BI415" s="4"/>
    </row>
    <row r="416" spans="10:61" s="2" customFormat="1" x14ac:dyDescent="0.3">
      <c r="J416" s="57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57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57"/>
      <c r="AG416" s="4"/>
      <c r="AH416" s="4"/>
      <c r="AI416" s="4"/>
      <c r="AJ416" s="4"/>
      <c r="AK416" s="4"/>
      <c r="AL416" s="4"/>
      <c r="AM416" s="4"/>
      <c r="AN416" s="4"/>
      <c r="AO416" s="4"/>
      <c r="AP416" s="4"/>
      <c r="AQ416" s="57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57"/>
      <c r="BC416" s="4"/>
      <c r="BD416" s="4"/>
      <c r="BE416" s="4"/>
      <c r="BF416" s="4"/>
      <c r="BG416" s="4"/>
      <c r="BH416" s="4"/>
      <c r="BI416" s="4"/>
    </row>
    <row r="417" spans="10:61" s="2" customFormat="1" x14ac:dyDescent="0.3">
      <c r="J417" s="57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57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57"/>
      <c r="AG417" s="4"/>
      <c r="AH417" s="4"/>
      <c r="AI417" s="4"/>
      <c r="AJ417" s="4"/>
      <c r="AK417" s="4"/>
      <c r="AL417" s="4"/>
      <c r="AM417" s="4"/>
      <c r="AN417" s="4"/>
      <c r="AO417" s="4"/>
      <c r="AP417" s="4"/>
      <c r="AQ417" s="57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57"/>
      <c r="BC417" s="4"/>
      <c r="BD417" s="4"/>
      <c r="BE417" s="4"/>
      <c r="BF417" s="4"/>
      <c r="BG417" s="4"/>
      <c r="BH417" s="4"/>
      <c r="BI417" s="4"/>
    </row>
    <row r="418" spans="10:61" s="2" customFormat="1" x14ac:dyDescent="0.3">
      <c r="J418" s="57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57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57"/>
      <c r="AG418" s="4"/>
      <c r="AH418" s="4"/>
      <c r="AI418" s="4"/>
      <c r="AJ418" s="4"/>
      <c r="AK418" s="4"/>
      <c r="AL418" s="4"/>
      <c r="AM418" s="4"/>
      <c r="AN418" s="4"/>
      <c r="AO418" s="4"/>
      <c r="AP418" s="4"/>
      <c r="AQ418" s="57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57"/>
      <c r="BC418" s="4"/>
      <c r="BD418" s="4"/>
      <c r="BE418" s="4"/>
      <c r="BF418" s="4"/>
      <c r="BG418" s="4"/>
      <c r="BH418" s="4"/>
      <c r="BI418" s="4"/>
    </row>
    <row r="419" spans="10:61" s="2" customFormat="1" x14ac:dyDescent="0.3">
      <c r="J419" s="57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57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57"/>
      <c r="AG419" s="4"/>
      <c r="AH419" s="4"/>
      <c r="AI419" s="4"/>
      <c r="AJ419" s="4"/>
      <c r="AK419" s="4"/>
      <c r="AL419" s="4"/>
      <c r="AM419" s="4"/>
      <c r="AN419" s="4"/>
      <c r="AO419" s="4"/>
      <c r="AP419" s="4"/>
      <c r="AQ419" s="57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57"/>
      <c r="BC419" s="4"/>
      <c r="BD419" s="4"/>
      <c r="BE419" s="4"/>
      <c r="BF419" s="4"/>
      <c r="BG419" s="4"/>
      <c r="BH419" s="4"/>
      <c r="BI419" s="4"/>
    </row>
    <row r="420" spans="10:61" s="2" customFormat="1" x14ac:dyDescent="0.3">
      <c r="J420" s="57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57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57"/>
      <c r="AG420" s="4"/>
      <c r="AH420" s="4"/>
      <c r="AI420" s="4"/>
      <c r="AJ420" s="4"/>
      <c r="AK420" s="4"/>
      <c r="AL420" s="4"/>
      <c r="AM420" s="4"/>
      <c r="AN420" s="4"/>
      <c r="AO420" s="4"/>
      <c r="AP420" s="4"/>
      <c r="AQ420" s="57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57"/>
      <c r="BC420" s="4"/>
      <c r="BD420" s="4"/>
      <c r="BE420" s="4"/>
      <c r="BF420" s="4"/>
      <c r="BG420" s="4"/>
      <c r="BH420" s="4"/>
      <c r="BI420" s="4"/>
    </row>
    <row r="421" spans="10:61" s="2" customFormat="1" x14ac:dyDescent="0.3">
      <c r="J421" s="57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57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57"/>
      <c r="AG421" s="4"/>
      <c r="AH421" s="4"/>
      <c r="AI421" s="4"/>
      <c r="AJ421" s="4"/>
      <c r="AK421" s="4"/>
      <c r="AL421" s="4"/>
      <c r="AM421" s="4"/>
      <c r="AN421" s="4"/>
      <c r="AO421" s="4"/>
      <c r="AP421" s="4"/>
      <c r="AQ421" s="57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57"/>
      <c r="BC421" s="4"/>
      <c r="BD421" s="4"/>
      <c r="BE421" s="4"/>
      <c r="BF421" s="4"/>
      <c r="BG421" s="4"/>
      <c r="BH421" s="4"/>
      <c r="BI421" s="4"/>
    </row>
    <row r="422" spans="10:61" s="2" customFormat="1" x14ac:dyDescent="0.3">
      <c r="J422" s="57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57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57"/>
      <c r="AG422" s="4"/>
      <c r="AH422" s="4"/>
      <c r="AI422" s="4"/>
      <c r="AJ422" s="4"/>
      <c r="AK422" s="4"/>
      <c r="AL422" s="4"/>
      <c r="AM422" s="4"/>
      <c r="AN422" s="4"/>
      <c r="AO422" s="4"/>
      <c r="AP422" s="4"/>
      <c r="AQ422" s="57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57"/>
      <c r="BC422" s="4"/>
      <c r="BD422" s="4"/>
      <c r="BE422" s="4"/>
      <c r="BF422" s="4"/>
      <c r="BG422" s="4"/>
      <c r="BH422" s="4"/>
      <c r="BI422" s="4"/>
    </row>
    <row r="423" spans="10:61" s="2" customFormat="1" x14ac:dyDescent="0.3">
      <c r="J423" s="57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57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57"/>
      <c r="AG423" s="4"/>
      <c r="AH423" s="4"/>
      <c r="AI423" s="4"/>
      <c r="AJ423" s="4"/>
      <c r="AK423" s="4"/>
      <c r="AL423" s="4"/>
      <c r="AM423" s="4"/>
      <c r="AN423" s="4"/>
      <c r="AO423" s="4"/>
      <c r="AP423" s="4"/>
      <c r="AQ423" s="57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57"/>
      <c r="BC423" s="4"/>
      <c r="BD423" s="4"/>
      <c r="BE423" s="4"/>
      <c r="BF423" s="4"/>
      <c r="BG423" s="4"/>
      <c r="BH423" s="4"/>
      <c r="BI423" s="4"/>
    </row>
    <row r="424" spans="10:61" s="2" customFormat="1" x14ac:dyDescent="0.3">
      <c r="J424" s="57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57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57"/>
      <c r="AG424" s="4"/>
      <c r="AH424" s="4"/>
      <c r="AI424" s="4"/>
      <c r="AJ424" s="4"/>
      <c r="AK424" s="4"/>
      <c r="AL424" s="4"/>
      <c r="AM424" s="4"/>
      <c r="AN424" s="4"/>
      <c r="AO424" s="4"/>
      <c r="AP424" s="4"/>
      <c r="AQ424" s="57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57"/>
      <c r="BC424" s="4"/>
      <c r="BD424" s="4"/>
      <c r="BE424" s="4"/>
      <c r="BF424" s="4"/>
      <c r="BG424" s="4"/>
      <c r="BH424" s="4"/>
      <c r="BI424" s="4"/>
    </row>
    <row r="425" spans="10:61" s="2" customFormat="1" x14ac:dyDescent="0.3">
      <c r="J425" s="57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57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57"/>
      <c r="AG425" s="4"/>
      <c r="AH425" s="4"/>
      <c r="AI425" s="4"/>
      <c r="AJ425" s="4"/>
      <c r="AK425" s="4"/>
      <c r="AL425" s="4"/>
      <c r="AM425" s="4"/>
      <c r="AN425" s="4"/>
      <c r="AO425" s="4"/>
      <c r="AP425" s="4"/>
      <c r="AQ425" s="57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57"/>
      <c r="BC425" s="4"/>
      <c r="BD425" s="4"/>
      <c r="BE425" s="4"/>
      <c r="BF425" s="4"/>
      <c r="BG425" s="4"/>
      <c r="BH425" s="4"/>
      <c r="BI425" s="4"/>
    </row>
    <row r="426" spans="10:61" s="2" customFormat="1" x14ac:dyDescent="0.3">
      <c r="J426" s="57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57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57"/>
      <c r="AG426" s="4"/>
      <c r="AH426" s="4"/>
      <c r="AI426" s="4"/>
      <c r="AJ426" s="4"/>
      <c r="AK426" s="4"/>
      <c r="AL426" s="4"/>
      <c r="AM426" s="4"/>
      <c r="AN426" s="4"/>
      <c r="AO426" s="4"/>
      <c r="AP426" s="4"/>
      <c r="AQ426" s="57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57"/>
      <c r="BC426" s="4"/>
      <c r="BD426" s="4"/>
      <c r="BE426" s="4"/>
      <c r="BF426" s="4"/>
      <c r="BG426" s="4"/>
      <c r="BH426" s="4"/>
      <c r="BI426" s="4"/>
    </row>
    <row r="427" spans="10:61" s="2" customFormat="1" x14ac:dyDescent="0.3">
      <c r="J427" s="57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57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57"/>
      <c r="AG427" s="4"/>
      <c r="AH427" s="4"/>
      <c r="AI427" s="4"/>
      <c r="AJ427" s="4"/>
      <c r="AK427" s="4"/>
      <c r="AL427" s="4"/>
      <c r="AM427" s="4"/>
      <c r="AN427" s="4"/>
      <c r="AO427" s="4"/>
      <c r="AP427" s="4"/>
      <c r="AQ427" s="57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57"/>
      <c r="BC427" s="4"/>
      <c r="BD427" s="4"/>
      <c r="BE427" s="4"/>
      <c r="BF427" s="4"/>
      <c r="BG427" s="4"/>
      <c r="BH427" s="4"/>
      <c r="BI427" s="4"/>
    </row>
    <row r="428" spans="10:61" s="2" customFormat="1" x14ac:dyDescent="0.3">
      <c r="J428" s="57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57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57"/>
      <c r="AG428" s="4"/>
      <c r="AH428" s="4"/>
      <c r="AI428" s="4"/>
      <c r="AJ428" s="4"/>
      <c r="AK428" s="4"/>
      <c r="AL428" s="4"/>
      <c r="AM428" s="4"/>
      <c r="AN428" s="4"/>
      <c r="AO428" s="4"/>
      <c r="AP428" s="4"/>
      <c r="AQ428" s="57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57"/>
      <c r="BC428" s="4"/>
      <c r="BD428" s="4"/>
      <c r="BE428" s="4"/>
      <c r="BF428" s="4"/>
      <c r="BG428" s="4"/>
      <c r="BH428" s="4"/>
      <c r="BI428" s="4"/>
    </row>
    <row r="429" spans="10:61" s="2" customFormat="1" x14ac:dyDescent="0.3">
      <c r="J429" s="57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57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57"/>
      <c r="AG429" s="4"/>
      <c r="AH429" s="4"/>
      <c r="AI429" s="4"/>
      <c r="AJ429" s="4"/>
      <c r="AK429" s="4"/>
      <c r="AL429" s="4"/>
      <c r="AM429" s="4"/>
      <c r="AN429" s="4"/>
      <c r="AO429" s="4"/>
      <c r="AP429" s="4"/>
      <c r="AQ429" s="57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57"/>
      <c r="BC429" s="4"/>
      <c r="BD429" s="4"/>
      <c r="BE429" s="4"/>
      <c r="BF429" s="4"/>
      <c r="BG429" s="4"/>
      <c r="BH429" s="4"/>
      <c r="BI429" s="4"/>
    </row>
    <row r="430" spans="10:61" s="2" customFormat="1" x14ac:dyDescent="0.3">
      <c r="J430" s="57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57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57"/>
      <c r="AG430" s="4"/>
      <c r="AH430" s="4"/>
      <c r="AI430" s="4"/>
      <c r="AJ430" s="4"/>
      <c r="AK430" s="4"/>
      <c r="AL430" s="4"/>
      <c r="AM430" s="4"/>
      <c r="AN430" s="4"/>
      <c r="AO430" s="4"/>
      <c r="AP430" s="4"/>
      <c r="AQ430" s="57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57"/>
      <c r="BC430" s="4"/>
      <c r="BD430" s="4"/>
      <c r="BE430" s="4"/>
      <c r="BF430" s="4"/>
      <c r="BG430" s="4"/>
      <c r="BH430" s="4"/>
      <c r="BI430" s="4"/>
    </row>
    <row r="431" spans="10:61" s="2" customFormat="1" x14ac:dyDescent="0.3">
      <c r="J431" s="57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57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57"/>
      <c r="AG431" s="4"/>
      <c r="AH431" s="4"/>
      <c r="AI431" s="4"/>
      <c r="AJ431" s="4"/>
      <c r="AK431" s="4"/>
      <c r="AL431" s="4"/>
      <c r="AM431" s="4"/>
      <c r="AN431" s="4"/>
      <c r="AO431" s="4"/>
      <c r="AP431" s="4"/>
      <c r="AQ431" s="57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57"/>
      <c r="BC431" s="4"/>
      <c r="BD431" s="4"/>
      <c r="BE431" s="4"/>
      <c r="BF431" s="4"/>
      <c r="BG431" s="4"/>
      <c r="BH431" s="4"/>
      <c r="BI431" s="4"/>
    </row>
    <row r="432" spans="10:61" s="2" customFormat="1" x14ac:dyDescent="0.3">
      <c r="J432" s="57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57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57"/>
      <c r="AG432" s="4"/>
      <c r="AH432" s="4"/>
      <c r="AI432" s="4"/>
      <c r="AJ432" s="4"/>
      <c r="AK432" s="4"/>
      <c r="AL432" s="4"/>
      <c r="AM432" s="4"/>
      <c r="AN432" s="4"/>
      <c r="AO432" s="4"/>
      <c r="AP432" s="4"/>
      <c r="AQ432" s="57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57"/>
      <c r="BC432" s="4"/>
      <c r="BD432" s="4"/>
      <c r="BE432" s="4"/>
      <c r="BF432" s="4"/>
      <c r="BG432" s="4"/>
      <c r="BH432" s="4"/>
      <c r="BI432" s="4"/>
    </row>
    <row r="433" spans="10:61" s="2" customFormat="1" x14ac:dyDescent="0.3">
      <c r="J433" s="57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57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57"/>
      <c r="AG433" s="4"/>
      <c r="AH433" s="4"/>
      <c r="AI433" s="4"/>
      <c r="AJ433" s="4"/>
      <c r="AK433" s="4"/>
      <c r="AL433" s="4"/>
      <c r="AM433" s="4"/>
      <c r="AN433" s="4"/>
      <c r="AO433" s="4"/>
      <c r="AP433" s="4"/>
      <c r="AQ433" s="57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57"/>
      <c r="BC433" s="4"/>
      <c r="BD433" s="4"/>
      <c r="BE433" s="4"/>
      <c r="BF433" s="4"/>
      <c r="BG433" s="4"/>
      <c r="BH433" s="4"/>
      <c r="BI433" s="4"/>
    </row>
    <row r="434" spans="10:61" s="2" customFormat="1" x14ac:dyDescent="0.3">
      <c r="J434" s="57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57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57"/>
      <c r="AG434" s="4"/>
      <c r="AH434" s="4"/>
      <c r="AI434" s="4"/>
      <c r="AJ434" s="4"/>
      <c r="AK434" s="4"/>
      <c r="AL434" s="4"/>
      <c r="AM434" s="4"/>
      <c r="AN434" s="4"/>
      <c r="AO434" s="4"/>
      <c r="AP434" s="4"/>
      <c r="AQ434" s="57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57"/>
      <c r="BC434" s="4"/>
      <c r="BD434" s="4"/>
      <c r="BE434" s="4"/>
      <c r="BF434" s="4"/>
      <c r="BG434" s="4"/>
      <c r="BH434" s="4"/>
      <c r="BI434" s="4"/>
    </row>
    <row r="435" spans="10:61" s="2" customFormat="1" x14ac:dyDescent="0.3">
      <c r="J435" s="57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57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57"/>
      <c r="AG435" s="4"/>
      <c r="AH435" s="4"/>
      <c r="AI435" s="4"/>
      <c r="AJ435" s="4"/>
      <c r="AK435" s="4"/>
      <c r="AL435" s="4"/>
      <c r="AM435" s="4"/>
      <c r="AN435" s="4"/>
      <c r="AO435" s="4"/>
      <c r="AP435" s="4"/>
      <c r="AQ435" s="57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57"/>
      <c r="BC435" s="4"/>
      <c r="BD435" s="4"/>
      <c r="BE435" s="4"/>
      <c r="BF435" s="4"/>
      <c r="BG435" s="4"/>
      <c r="BH435" s="4"/>
      <c r="BI435" s="4"/>
    </row>
    <row r="436" spans="10:61" s="2" customFormat="1" x14ac:dyDescent="0.3">
      <c r="J436" s="57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57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57"/>
      <c r="AG436" s="4"/>
      <c r="AH436" s="4"/>
      <c r="AI436" s="4"/>
      <c r="AJ436" s="4"/>
      <c r="AK436" s="4"/>
      <c r="AL436" s="4"/>
      <c r="AM436" s="4"/>
      <c r="AN436" s="4"/>
      <c r="AO436" s="4"/>
      <c r="AP436" s="4"/>
      <c r="AQ436" s="57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57"/>
      <c r="BC436" s="4"/>
      <c r="BD436" s="4"/>
      <c r="BE436" s="4"/>
      <c r="BF436" s="4"/>
      <c r="BG436" s="4"/>
      <c r="BH436" s="4"/>
      <c r="BI436" s="4"/>
    </row>
    <row r="437" spans="10:61" s="2" customFormat="1" x14ac:dyDescent="0.3">
      <c r="J437" s="57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57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57"/>
      <c r="AG437" s="4"/>
      <c r="AH437" s="4"/>
      <c r="AI437" s="4"/>
      <c r="AJ437" s="4"/>
      <c r="AK437" s="4"/>
      <c r="AL437" s="4"/>
      <c r="AM437" s="4"/>
      <c r="AN437" s="4"/>
      <c r="AO437" s="4"/>
      <c r="AP437" s="4"/>
      <c r="AQ437" s="57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57"/>
      <c r="BC437" s="4"/>
      <c r="BD437" s="4"/>
      <c r="BE437" s="4"/>
      <c r="BF437" s="4"/>
      <c r="BG437" s="4"/>
      <c r="BH437" s="4"/>
      <c r="BI437" s="4"/>
    </row>
    <row r="438" spans="10:61" s="2" customFormat="1" x14ac:dyDescent="0.3">
      <c r="J438" s="57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57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57"/>
      <c r="AG438" s="4"/>
      <c r="AH438" s="4"/>
      <c r="AI438" s="4"/>
      <c r="AJ438" s="4"/>
      <c r="AK438" s="4"/>
      <c r="AL438" s="4"/>
      <c r="AM438" s="4"/>
      <c r="AN438" s="4"/>
      <c r="AO438" s="4"/>
      <c r="AP438" s="4"/>
      <c r="AQ438" s="57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57"/>
      <c r="BC438" s="4"/>
      <c r="BD438" s="4"/>
      <c r="BE438" s="4"/>
      <c r="BF438" s="4"/>
      <c r="BG438" s="4"/>
      <c r="BH438" s="4"/>
      <c r="BI438" s="4"/>
    </row>
    <row r="439" spans="10:61" s="2" customFormat="1" x14ac:dyDescent="0.3">
      <c r="J439" s="57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57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57"/>
      <c r="AG439" s="4"/>
      <c r="AH439" s="4"/>
      <c r="AI439" s="4"/>
      <c r="AJ439" s="4"/>
      <c r="AK439" s="4"/>
      <c r="AL439" s="4"/>
      <c r="AM439" s="4"/>
      <c r="AN439" s="4"/>
      <c r="AO439" s="4"/>
      <c r="AP439" s="4"/>
      <c r="AQ439" s="57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57"/>
      <c r="BC439" s="4"/>
      <c r="BD439" s="4"/>
      <c r="BE439" s="4"/>
      <c r="BF439" s="4"/>
      <c r="BG439" s="4"/>
      <c r="BH439" s="4"/>
      <c r="BI439" s="4"/>
    </row>
    <row r="440" spans="10:61" s="2" customFormat="1" x14ac:dyDescent="0.3">
      <c r="J440" s="57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57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57"/>
      <c r="AG440" s="4"/>
      <c r="AH440" s="4"/>
      <c r="AI440" s="4"/>
      <c r="AJ440" s="4"/>
      <c r="AK440" s="4"/>
      <c r="AL440" s="4"/>
      <c r="AM440" s="4"/>
      <c r="AN440" s="4"/>
      <c r="AO440" s="4"/>
      <c r="AP440" s="4"/>
      <c r="AQ440" s="57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57"/>
      <c r="BC440" s="4"/>
      <c r="BD440" s="4"/>
      <c r="BE440" s="4"/>
      <c r="BF440" s="4"/>
      <c r="BG440" s="4"/>
      <c r="BH440" s="4"/>
      <c r="BI440" s="4"/>
    </row>
    <row r="441" spans="10:61" s="2" customFormat="1" x14ac:dyDescent="0.3">
      <c r="J441" s="57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57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57"/>
      <c r="AG441" s="4"/>
      <c r="AH441" s="4"/>
      <c r="AI441" s="4"/>
      <c r="AJ441" s="4"/>
      <c r="AK441" s="4"/>
      <c r="AL441" s="4"/>
      <c r="AM441" s="4"/>
      <c r="AN441" s="4"/>
      <c r="AO441" s="4"/>
      <c r="AP441" s="4"/>
      <c r="AQ441" s="57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57"/>
      <c r="BC441" s="4"/>
      <c r="BD441" s="4"/>
      <c r="BE441" s="4"/>
      <c r="BF441" s="4"/>
      <c r="BG441" s="4"/>
      <c r="BH441" s="4"/>
      <c r="BI441" s="4"/>
    </row>
    <row r="442" spans="10:61" s="2" customFormat="1" x14ac:dyDescent="0.3">
      <c r="J442" s="57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57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57"/>
      <c r="AG442" s="4"/>
      <c r="AH442" s="4"/>
      <c r="AI442" s="4"/>
      <c r="AJ442" s="4"/>
      <c r="AK442" s="4"/>
      <c r="AL442" s="4"/>
      <c r="AM442" s="4"/>
      <c r="AN442" s="4"/>
      <c r="AO442" s="4"/>
      <c r="AP442" s="4"/>
      <c r="AQ442" s="57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57"/>
      <c r="BC442" s="4"/>
      <c r="BD442" s="4"/>
      <c r="BE442" s="4"/>
      <c r="BF442" s="4"/>
      <c r="BG442" s="4"/>
      <c r="BH442" s="4"/>
      <c r="BI442" s="4"/>
    </row>
    <row r="443" spans="10:61" s="2" customFormat="1" x14ac:dyDescent="0.3">
      <c r="J443" s="57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57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57"/>
      <c r="AG443" s="4"/>
      <c r="AH443" s="4"/>
      <c r="AI443" s="4"/>
      <c r="AJ443" s="4"/>
      <c r="AK443" s="4"/>
      <c r="AL443" s="4"/>
      <c r="AM443" s="4"/>
      <c r="AN443" s="4"/>
      <c r="AO443" s="4"/>
      <c r="AP443" s="4"/>
      <c r="AQ443" s="57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57"/>
      <c r="BC443" s="4"/>
      <c r="BD443" s="4"/>
      <c r="BE443" s="4"/>
      <c r="BF443" s="4"/>
      <c r="BG443" s="4"/>
      <c r="BH443" s="4"/>
      <c r="BI443" s="4"/>
    </row>
    <row r="444" spans="10:61" s="2" customFormat="1" x14ac:dyDescent="0.3">
      <c r="J444" s="57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57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57"/>
      <c r="AG444" s="4"/>
      <c r="AH444" s="4"/>
      <c r="AI444" s="4"/>
      <c r="AJ444" s="4"/>
      <c r="AK444" s="4"/>
      <c r="AL444" s="4"/>
      <c r="AM444" s="4"/>
      <c r="AN444" s="4"/>
      <c r="AO444" s="4"/>
      <c r="AP444" s="4"/>
      <c r="AQ444" s="57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57"/>
      <c r="BC444" s="4"/>
      <c r="BD444" s="4"/>
      <c r="BE444" s="4"/>
      <c r="BF444" s="4"/>
      <c r="BG444" s="4"/>
      <c r="BH444" s="4"/>
      <c r="BI444" s="4"/>
    </row>
    <row r="445" spans="10:61" s="2" customFormat="1" x14ac:dyDescent="0.3">
      <c r="J445" s="57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57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57"/>
      <c r="AG445" s="4"/>
      <c r="AH445" s="4"/>
      <c r="AI445" s="4"/>
      <c r="AJ445" s="4"/>
      <c r="AK445" s="4"/>
      <c r="AL445" s="4"/>
      <c r="AM445" s="4"/>
      <c r="AN445" s="4"/>
      <c r="AO445" s="4"/>
      <c r="AP445" s="4"/>
      <c r="AQ445" s="57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57"/>
      <c r="BC445" s="4"/>
      <c r="BD445" s="4"/>
      <c r="BE445" s="4"/>
      <c r="BF445" s="4"/>
      <c r="BG445" s="4"/>
      <c r="BH445" s="4"/>
      <c r="BI445" s="4"/>
    </row>
    <row r="446" spans="10:61" s="2" customFormat="1" x14ac:dyDescent="0.3">
      <c r="J446" s="57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57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57"/>
      <c r="AG446" s="4"/>
      <c r="AH446" s="4"/>
      <c r="AI446" s="4"/>
      <c r="AJ446" s="4"/>
      <c r="AK446" s="4"/>
      <c r="AL446" s="4"/>
      <c r="AM446" s="4"/>
      <c r="AN446" s="4"/>
      <c r="AO446" s="4"/>
      <c r="AP446" s="4"/>
      <c r="AQ446" s="57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57"/>
      <c r="BC446" s="4"/>
      <c r="BD446" s="4"/>
      <c r="BE446" s="4"/>
      <c r="BF446" s="4"/>
      <c r="BG446" s="4"/>
      <c r="BH446" s="4"/>
      <c r="BI446" s="4"/>
    </row>
    <row r="447" spans="10:61" s="2" customFormat="1" x14ac:dyDescent="0.3">
      <c r="J447" s="57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57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57"/>
      <c r="AG447" s="4"/>
      <c r="AH447" s="4"/>
      <c r="AI447" s="4"/>
      <c r="AJ447" s="4"/>
      <c r="AK447" s="4"/>
      <c r="AL447" s="4"/>
      <c r="AM447" s="4"/>
      <c r="AN447" s="4"/>
      <c r="AO447" s="4"/>
      <c r="AP447" s="4"/>
      <c r="AQ447" s="57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57"/>
      <c r="BC447" s="4"/>
      <c r="BD447" s="4"/>
      <c r="BE447" s="4"/>
      <c r="BF447" s="4"/>
      <c r="BG447" s="4"/>
      <c r="BH447" s="4"/>
      <c r="BI447" s="4"/>
    </row>
    <row r="448" spans="10:61" s="2" customFormat="1" x14ac:dyDescent="0.3">
      <c r="J448" s="57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57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57"/>
      <c r="AG448" s="4"/>
      <c r="AH448" s="4"/>
      <c r="AI448" s="4"/>
      <c r="AJ448" s="4"/>
      <c r="AK448" s="4"/>
      <c r="AL448" s="4"/>
      <c r="AM448" s="4"/>
      <c r="AN448" s="4"/>
      <c r="AO448" s="4"/>
      <c r="AP448" s="4"/>
      <c r="AQ448" s="57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57"/>
      <c r="BC448" s="4"/>
      <c r="BD448" s="4"/>
      <c r="BE448" s="4"/>
      <c r="BF448" s="4"/>
      <c r="BG448" s="4"/>
      <c r="BH448" s="4"/>
      <c r="BI448" s="4"/>
    </row>
    <row r="449" spans="10:61" s="2" customFormat="1" x14ac:dyDescent="0.3">
      <c r="J449" s="57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57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57"/>
      <c r="AG449" s="4"/>
      <c r="AH449" s="4"/>
      <c r="AI449" s="4"/>
      <c r="AJ449" s="4"/>
      <c r="AK449" s="4"/>
      <c r="AL449" s="4"/>
      <c r="AM449" s="4"/>
      <c r="AN449" s="4"/>
      <c r="AO449" s="4"/>
      <c r="AP449" s="4"/>
      <c r="AQ449" s="57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57"/>
      <c r="BC449" s="4"/>
      <c r="BD449" s="4"/>
      <c r="BE449" s="4"/>
      <c r="BF449" s="4"/>
      <c r="BG449" s="4"/>
      <c r="BH449" s="4"/>
      <c r="BI449" s="4"/>
    </row>
    <row r="450" spans="10:61" s="2" customFormat="1" x14ac:dyDescent="0.3">
      <c r="J450" s="57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57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57"/>
      <c r="AG450" s="4"/>
      <c r="AH450" s="4"/>
      <c r="AI450" s="4"/>
      <c r="AJ450" s="4"/>
      <c r="AK450" s="4"/>
      <c r="AL450" s="4"/>
      <c r="AM450" s="4"/>
      <c r="AN450" s="4"/>
      <c r="AO450" s="4"/>
      <c r="AP450" s="4"/>
      <c r="AQ450" s="57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57"/>
      <c r="BC450" s="4"/>
      <c r="BD450" s="4"/>
      <c r="BE450" s="4"/>
      <c r="BF450" s="4"/>
      <c r="BG450" s="4"/>
      <c r="BH450" s="4"/>
      <c r="BI450" s="4"/>
    </row>
    <row r="451" spans="10:61" s="2" customFormat="1" x14ac:dyDescent="0.3">
      <c r="J451" s="57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57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57"/>
      <c r="AG451" s="4"/>
      <c r="AH451" s="4"/>
      <c r="AI451" s="4"/>
      <c r="AJ451" s="4"/>
      <c r="AK451" s="4"/>
      <c r="AL451" s="4"/>
      <c r="AM451" s="4"/>
      <c r="AN451" s="4"/>
      <c r="AO451" s="4"/>
      <c r="AP451" s="4"/>
      <c r="AQ451" s="57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57"/>
      <c r="BC451" s="4"/>
      <c r="BD451" s="4"/>
      <c r="BE451" s="4"/>
      <c r="BF451" s="4"/>
      <c r="BG451" s="4"/>
      <c r="BH451" s="4"/>
      <c r="BI451" s="4"/>
    </row>
    <row r="452" spans="10:61" s="2" customFormat="1" x14ac:dyDescent="0.3">
      <c r="J452" s="57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57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57"/>
      <c r="AG452" s="4"/>
      <c r="AH452" s="4"/>
      <c r="AI452" s="4"/>
      <c r="AJ452" s="4"/>
      <c r="AK452" s="4"/>
      <c r="AL452" s="4"/>
      <c r="AM452" s="4"/>
      <c r="AN452" s="4"/>
      <c r="AO452" s="4"/>
      <c r="AP452" s="4"/>
      <c r="AQ452" s="57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57"/>
      <c r="BC452" s="4"/>
      <c r="BD452" s="4"/>
      <c r="BE452" s="4"/>
      <c r="BF452" s="4"/>
      <c r="BG452" s="4"/>
      <c r="BH452" s="4"/>
      <c r="BI452" s="4"/>
    </row>
    <row r="453" spans="10:61" s="2" customFormat="1" x14ac:dyDescent="0.3">
      <c r="J453" s="57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57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57"/>
      <c r="AG453" s="4"/>
      <c r="AH453" s="4"/>
      <c r="AI453" s="4"/>
      <c r="AJ453" s="4"/>
      <c r="AK453" s="4"/>
      <c r="AL453" s="4"/>
      <c r="AM453" s="4"/>
      <c r="AN453" s="4"/>
      <c r="AO453" s="4"/>
      <c r="AP453" s="4"/>
      <c r="AQ453" s="57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57"/>
      <c r="BC453" s="4"/>
      <c r="BD453" s="4"/>
      <c r="BE453" s="4"/>
      <c r="BF453" s="4"/>
      <c r="BG453" s="4"/>
      <c r="BH453" s="4"/>
      <c r="BI453" s="4"/>
    </row>
    <row r="454" spans="10:61" s="2" customFormat="1" x14ac:dyDescent="0.3">
      <c r="J454" s="57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57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57"/>
      <c r="AG454" s="4"/>
      <c r="AH454" s="4"/>
      <c r="AI454" s="4"/>
      <c r="AJ454" s="4"/>
      <c r="AK454" s="4"/>
      <c r="AL454" s="4"/>
      <c r="AM454" s="4"/>
      <c r="AN454" s="4"/>
      <c r="AO454" s="4"/>
      <c r="AP454" s="4"/>
      <c r="AQ454" s="57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57"/>
      <c r="BC454" s="4"/>
      <c r="BD454" s="4"/>
      <c r="BE454" s="4"/>
      <c r="BF454" s="4"/>
      <c r="BG454" s="4"/>
      <c r="BH454" s="4"/>
      <c r="BI454" s="4"/>
    </row>
    <row r="455" spans="10:61" s="2" customFormat="1" x14ac:dyDescent="0.3">
      <c r="J455" s="57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57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57"/>
      <c r="AG455" s="4"/>
      <c r="AH455" s="4"/>
      <c r="AI455" s="4"/>
      <c r="AJ455" s="4"/>
      <c r="AK455" s="4"/>
      <c r="AL455" s="4"/>
      <c r="AM455" s="4"/>
      <c r="AN455" s="4"/>
      <c r="AO455" s="4"/>
      <c r="AP455" s="4"/>
      <c r="AQ455" s="57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57"/>
      <c r="BC455" s="4"/>
      <c r="BD455" s="4"/>
      <c r="BE455" s="4"/>
      <c r="BF455" s="4"/>
      <c r="BG455" s="4"/>
      <c r="BH455" s="4"/>
      <c r="BI455" s="4"/>
    </row>
    <row r="456" spans="10:61" s="2" customFormat="1" x14ac:dyDescent="0.3">
      <c r="J456" s="57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57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57"/>
      <c r="AG456" s="4"/>
      <c r="AH456" s="4"/>
      <c r="AI456" s="4"/>
      <c r="AJ456" s="4"/>
      <c r="AK456" s="4"/>
      <c r="AL456" s="4"/>
      <c r="AM456" s="4"/>
      <c r="AN456" s="4"/>
      <c r="AO456" s="4"/>
      <c r="AP456" s="4"/>
      <c r="AQ456" s="57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57"/>
      <c r="BC456" s="4"/>
      <c r="BD456" s="4"/>
      <c r="BE456" s="4"/>
      <c r="BF456" s="4"/>
      <c r="BG456" s="4"/>
      <c r="BH456" s="4"/>
      <c r="BI456" s="4"/>
    </row>
    <row r="457" spans="10:61" s="2" customFormat="1" x14ac:dyDescent="0.3">
      <c r="J457" s="57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57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57"/>
      <c r="AG457" s="4"/>
      <c r="AH457" s="4"/>
      <c r="AI457" s="4"/>
      <c r="AJ457" s="4"/>
      <c r="AK457" s="4"/>
      <c r="AL457" s="4"/>
      <c r="AM457" s="4"/>
      <c r="AN457" s="4"/>
      <c r="AO457" s="4"/>
      <c r="AP457" s="4"/>
      <c r="AQ457" s="57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57"/>
      <c r="BC457" s="4"/>
      <c r="BD457" s="4"/>
      <c r="BE457" s="4"/>
      <c r="BF457" s="4"/>
      <c r="BG457" s="4"/>
      <c r="BH457" s="4"/>
      <c r="BI457" s="4"/>
    </row>
    <row r="458" spans="10:61" s="2" customFormat="1" x14ac:dyDescent="0.3">
      <c r="J458" s="57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57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57"/>
      <c r="AG458" s="4"/>
      <c r="AH458" s="4"/>
      <c r="AI458" s="4"/>
      <c r="AJ458" s="4"/>
      <c r="AK458" s="4"/>
      <c r="AL458" s="4"/>
      <c r="AM458" s="4"/>
      <c r="AN458" s="4"/>
      <c r="AO458" s="4"/>
      <c r="AP458" s="4"/>
      <c r="AQ458" s="57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57"/>
      <c r="BC458" s="4"/>
      <c r="BD458" s="4"/>
      <c r="BE458" s="4"/>
      <c r="BF458" s="4"/>
      <c r="BG458" s="4"/>
      <c r="BH458" s="4"/>
      <c r="BI458" s="4"/>
    </row>
    <row r="459" spans="10:61" s="2" customFormat="1" x14ac:dyDescent="0.3">
      <c r="J459" s="57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57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57"/>
      <c r="AG459" s="4"/>
      <c r="AH459" s="4"/>
      <c r="AI459" s="4"/>
      <c r="AJ459" s="4"/>
      <c r="AK459" s="4"/>
      <c r="AL459" s="4"/>
      <c r="AM459" s="4"/>
      <c r="AN459" s="4"/>
      <c r="AO459" s="4"/>
      <c r="AP459" s="4"/>
      <c r="AQ459" s="57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57"/>
      <c r="BC459" s="4"/>
      <c r="BD459" s="4"/>
      <c r="BE459" s="4"/>
      <c r="BF459" s="4"/>
      <c r="BG459" s="4"/>
      <c r="BH459" s="4"/>
      <c r="BI459" s="4"/>
    </row>
    <row r="460" spans="10:61" s="2" customFormat="1" x14ac:dyDescent="0.3">
      <c r="J460" s="57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57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57"/>
      <c r="AG460" s="4"/>
      <c r="AH460" s="4"/>
      <c r="AI460" s="4"/>
      <c r="AJ460" s="4"/>
      <c r="AK460" s="4"/>
      <c r="AL460" s="4"/>
      <c r="AM460" s="4"/>
      <c r="AN460" s="4"/>
      <c r="AO460" s="4"/>
      <c r="AP460" s="4"/>
      <c r="AQ460" s="57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57"/>
      <c r="BC460" s="4"/>
      <c r="BD460" s="4"/>
      <c r="BE460" s="4"/>
      <c r="BF460" s="4"/>
      <c r="BG460" s="4"/>
      <c r="BH460" s="4"/>
      <c r="BI460" s="4"/>
    </row>
    <row r="461" spans="10:61" s="2" customFormat="1" x14ac:dyDescent="0.3">
      <c r="J461" s="57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57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57"/>
      <c r="AG461" s="4"/>
      <c r="AH461" s="4"/>
      <c r="AI461" s="4"/>
      <c r="AJ461" s="4"/>
      <c r="AK461" s="4"/>
      <c r="AL461" s="4"/>
      <c r="AM461" s="4"/>
      <c r="AN461" s="4"/>
      <c r="AO461" s="4"/>
      <c r="AP461" s="4"/>
      <c r="AQ461" s="57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57"/>
      <c r="BC461" s="4"/>
      <c r="BD461" s="4"/>
      <c r="BE461" s="4"/>
      <c r="BF461" s="4"/>
      <c r="BG461" s="4"/>
      <c r="BH461" s="4"/>
      <c r="BI461" s="4"/>
    </row>
    <row r="462" spans="10:61" s="2" customFormat="1" x14ac:dyDescent="0.3">
      <c r="J462" s="57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57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57"/>
      <c r="AG462" s="4"/>
      <c r="AH462" s="4"/>
      <c r="AI462" s="4"/>
      <c r="AJ462" s="4"/>
      <c r="AK462" s="4"/>
      <c r="AL462" s="4"/>
      <c r="AM462" s="4"/>
      <c r="AN462" s="4"/>
      <c r="AO462" s="4"/>
      <c r="AP462" s="4"/>
      <c r="AQ462" s="57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57"/>
      <c r="BC462" s="4"/>
      <c r="BD462" s="4"/>
      <c r="BE462" s="4"/>
      <c r="BF462" s="4"/>
      <c r="BG462" s="4"/>
      <c r="BH462" s="4"/>
      <c r="BI462" s="4"/>
    </row>
    <row r="463" spans="10:61" s="2" customFormat="1" x14ac:dyDescent="0.3">
      <c r="J463" s="57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57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57"/>
      <c r="AG463" s="4"/>
      <c r="AH463" s="4"/>
      <c r="AI463" s="4"/>
      <c r="AJ463" s="4"/>
      <c r="AK463" s="4"/>
      <c r="AL463" s="4"/>
      <c r="AM463" s="4"/>
      <c r="AN463" s="4"/>
      <c r="AO463" s="4"/>
      <c r="AP463" s="4"/>
      <c r="AQ463" s="57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57"/>
      <c r="BC463" s="4"/>
      <c r="BD463" s="4"/>
      <c r="BE463" s="4"/>
      <c r="BF463" s="4"/>
      <c r="BG463" s="4"/>
      <c r="BH463" s="4"/>
      <c r="BI463" s="4"/>
    </row>
    <row r="464" spans="10:61" s="2" customFormat="1" x14ac:dyDescent="0.3">
      <c r="J464" s="57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57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57"/>
      <c r="AG464" s="4"/>
      <c r="AH464" s="4"/>
      <c r="AI464" s="4"/>
      <c r="AJ464" s="4"/>
      <c r="AK464" s="4"/>
      <c r="AL464" s="4"/>
      <c r="AM464" s="4"/>
      <c r="AN464" s="4"/>
      <c r="AO464" s="4"/>
      <c r="AP464" s="4"/>
      <c r="AQ464" s="57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57"/>
      <c r="BC464" s="4"/>
      <c r="BD464" s="4"/>
      <c r="BE464" s="4"/>
      <c r="BF464" s="4"/>
      <c r="BG464" s="4"/>
      <c r="BH464" s="4"/>
      <c r="BI464" s="4"/>
    </row>
    <row r="465" spans="10:61" s="2" customFormat="1" x14ac:dyDescent="0.3">
      <c r="J465" s="57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57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57"/>
      <c r="AG465" s="4"/>
      <c r="AH465" s="4"/>
      <c r="AI465" s="4"/>
      <c r="AJ465" s="4"/>
      <c r="AK465" s="4"/>
      <c r="AL465" s="4"/>
      <c r="AM465" s="4"/>
      <c r="AN465" s="4"/>
      <c r="AO465" s="4"/>
      <c r="AP465" s="4"/>
      <c r="AQ465" s="57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57"/>
      <c r="BC465" s="4"/>
      <c r="BD465" s="4"/>
      <c r="BE465" s="4"/>
      <c r="BF465" s="4"/>
      <c r="BG465" s="4"/>
      <c r="BH465" s="4"/>
      <c r="BI465" s="4"/>
    </row>
    <row r="466" spans="10:61" s="2" customFormat="1" x14ac:dyDescent="0.3">
      <c r="J466" s="57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57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57"/>
      <c r="AG466" s="4"/>
      <c r="AH466" s="4"/>
      <c r="AI466" s="4"/>
      <c r="AJ466" s="4"/>
      <c r="AK466" s="4"/>
      <c r="AL466" s="4"/>
      <c r="AM466" s="4"/>
      <c r="AN466" s="4"/>
      <c r="AO466" s="4"/>
      <c r="AP466" s="4"/>
      <c r="AQ466" s="57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57"/>
      <c r="BC466" s="4"/>
      <c r="BD466" s="4"/>
      <c r="BE466" s="4"/>
      <c r="BF466" s="4"/>
      <c r="BG466" s="4"/>
      <c r="BH466" s="4"/>
      <c r="BI466" s="4"/>
    </row>
    <row r="467" spans="10:61" s="2" customFormat="1" x14ac:dyDescent="0.3">
      <c r="J467" s="57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5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57"/>
      <c r="AG467" s="4"/>
      <c r="AH467" s="4"/>
      <c r="AI467" s="4"/>
      <c r="AJ467" s="4"/>
      <c r="AK467" s="4"/>
      <c r="AL467" s="4"/>
      <c r="AM467" s="4"/>
      <c r="AN467" s="4"/>
      <c r="AO467" s="4"/>
      <c r="AP467" s="4"/>
      <c r="AQ467" s="57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57"/>
      <c r="BC467" s="4"/>
      <c r="BD467" s="4"/>
      <c r="BE467" s="4"/>
      <c r="BF467" s="4"/>
      <c r="BG467" s="4"/>
      <c r="BH467" s="4"/>
      <c r="BI467" s="4"/>
    </row>
    <row r="468" spans="10:61" s="2" customFormat="1" x14ac:dyDescent="0.3">
      <c r="J468" s="57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57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57"/>
      <c r="AG468" s="4"/>
      <c r="AH468" s="4"/>
      <c r="AI468" s="4"/>
      <c r="AJ468" s="4"/>
      <c r="AK468" s="4"/>
      <c r="AL468" s="4"/>
      <c r="AM468" s="4"/>
      <c r="AN468" s="4"/>
      <c r="AO468" s="4"/>
      <c r="AP468" s="4"/>
      <c r="AQ468" s="57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57"/>
      <c r="BC468" s="4"/>
      <c r="BD468" s="4"/>
      <c r="BE468" s="4"/>
      <c r="BF468" s="4"/>
      <c r="BG468" s="4"/>
      <c r="BH468" s="4"/>
      <c r="BI468" s="4"/>
    </row>
    <row r="469" spans="10:61" s="2" customFormat="1" x14ac:dyDescent="0.3">
      <c r="J469" s="57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57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57"/>
      <c r="AG469" s="4"/>
      <c r="AH469" s="4"/>
      <c r="AI469" s="4"/>
      <c r="AJ469" s="4"/>
      <c r="AK469" s="4"/>
      <c r="AL469" s="4"/>
      <c r="AM469" s="4"/>
      <c r="AN469" s="4"/>
      <c r="AO469" s="4"/>
      <c r="AP469" s="4"/>
      <c r="AQ469" s="57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57"/>
      <c r="BC469" s="4"/>
      <c r="BD469" s="4"/>
      <c r="BE469" s="4"/>
      <c r="BF469" s="4"/>
      <c r="BG469" s="4"/>
      <c r="BH469" s="4"/>
      <c r="BI469" s="4"/>
    </row>
    <row r="470" spans="10:61" s="2" customFormat="1" x14ac:dyDescent="0.3">
      <c r="J470" s="57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57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57"/>
      <c r="AG470" s="4"/>
      <c r="AH470" s="4"/>
      <c r="AI470" s="4"/>
      <c r="AJ470" s="4"/>
      <c r="AK470" s="4"/>
      <c r="AL470" s="4"/>
      <c r="AM470" s="4"/>
      <c r="AN470" s="4"/>
      <c r="AO470" s="4"/>
      <c r="AP470" s="4"/>
      <c r="AQ470" s="57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57"/>
      <c r="BC470" s="4"/>
      <c r="BD470" s="4"/>
      <c r="BE470" s="4"/>
      <c r="BF470" s="4"/>
      <c r="BG470" s="4"/>
      <c r="BH470" s="4"/>
      <c r="BI470" s="4"/>
    </row>
    <row r="471" spans="10:61" s="2" customFormat="1" x14ac:dyDescent="0.3">
      <c r="J471" s="57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57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57"/>
      <c r="AG471" s="4"/>
      <c r="AH471" s="4"/>
      <c r="AI471" s="4"/>
      <c r="AJ471" s="4"/>
      <c r="AK471" s="4"/>
      <c r="AL471" s="4"/>
      <c r="AM471" s="4"/>
      <c r="AN471" s="4"/>
      <c r="AO471" s="4"/>
      <c r="AP471" s="4"/>
      <c r="AQ471" s="57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57"/>
      <c r="BC471" s="4"/>
      <c r="BD471" s="4"/>
      <c r="BE471" s="4"/>
      <c r="BF471" s="4"/>
      <c r="BG471" s="4"/>
      <c r="BH471" s="4"/>
      <c r="BI471" s="4"/>
    </row>
    <row r="472" spans="10:61" s="2" customFormat="1" x14ac:dyDescent="0.3">
      <c r="J472" s="57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57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57"/>
      <c r="AG472" s="4"/>
      <c r="AH472" s="4"/>
      <c r="AI472" s="4"/>
      <c r="AJ472" s="4"/>
      <c r="AK472" s="4"/>
      <c r="AL472" s="4"/>
      <c r="AM472" s="4"/>
      <c r="AN472" s="4"/>
      <c r="AO472" s="4"/>
      <c r="AP472" s="4"/>
      <c r="AQ472" s="57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57"/>
      <c r="BC472" s="4"/>
      <c r="BD472" s="4"/>
      <c r="BE472" s="4"/>
      <c r="BF472" s="4"/>
      <c r="BG472" s="4"/>
      <c r="BH472" s="4"/>
      <c r="BI472" s="4"/>
    </row>
    <row r="473" spans="10:61" s="2" customFormat="1" x14ac:dyDescent="0.3">
      <c r="J473" s="57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57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57"/>
      <c r="AG473" s="4"/>
      <c r="AH473" s="4"/>
      <c r="AI473" s="4"/>
      <c r="AJ473" s="4"/>
      <c r="AK473" s="4"/>
      <c r="AL473" s="4"/>
      <c r="AM473" s="4"/>
      <c r="AN473" s="4"/>
      <c r="AO473" s="4"/>
      <c r="AP473" s="4"/>
      <c r="AQ473" s="57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57"/>
      <c r="BC473" s="4"/>
      <c r="BD473" s="4"/>
      <c r="BE473" s="4"/>
      <c r="BF473" s="4"/>
      <c r="BG473" s="4"/>
      <c r="BH473" s="4"/>
      <c r="BI473" s="4"/>
    </row>
    <row r="474" spans="10:61" s="2" customFormat="1" x14ac:dyDescent="0.3">
      <c r="J474" s="57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57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57"/>
      <c r="AG474" s="4"/>
      <c r="AH474" s="4"/>
      <c r="AI474" s="4"/>
      <c r="AJ474" s="4"/>
      <c r="AK474" s="4"/>
      <c r="AL474" s="4"/>
      <c r="AM474" s="4"/>
      <c r="AN474" s="4"/>
      <c r="AO474" s="4"/>
      <c r="AP474" s="4"/>
      <c r="AQ474" s="57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57"/>
      <c r="BC474" s="4"/>
      <c r="BD474" s="4"/>
      <c r="BE474" s="4"/>
      <c r="BF474" s="4"/>
      <c r="BG474" s="4"/>
      <c r="BH474" s="4"/>
      <c r="BI474" s="4"/>
    </row>
    <row r="475" spans="10:61" s="2" customFormat="1" x14ac:dyDescent="0.3">
      <c r="J475" s="57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57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57"/>
      <c r="AG475" s="4"/>
      <c r="AH475" s="4"/>
      <c r="AI475" s="4"/>
      <c r="AJ475" s="4"/>
      <c r="AK475" s="4"/>
      <c r="AL475" s="4"/>
      <c r="AM475" s="4"/>
      <c r="AN475" s="4"/>
      <c r="AO475" s="4"/>
      <c r="AP475" s="4"/>
      <c r="AQ475" s="57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57"/>
      <c r="BC475" s="4"/>
      <c r="BD475" s="4"/>
      <c r="BE475" s="4"/>
      <c r="BF475" s="4"/>
      <c r="BG475" s="4"/>
      <c r="BH475" s="4"/>
      <c r="BI475" s="4"/>
    </row>
    <row r="476" spans="10:61" s="2" customFormat="1" x14ac:dyDescent="0.3">
      <c r="J476" s="57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57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57"/>
      <c r="AG476" s="4"/>
      <c r="AH476" s="4"/>
      <c r="AI476" s="4"/>
      <c r="AJ476" s="4"/>
      <c r="AK476" s="4"/>
      <c r="AL476" s="4"/>
      <c r="AM476" s="4"/>
      <c r="AN476" s="4"/>
      <c r="AO476" s="4"/>
      <c r="AP476" s="4"/>
      <c r="AQ476" s="57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57"/>
      <c r="BC476" s="4"/>
      <c r="BD476" s="4"/>
      <c r="BE476" s="4"/>
      <c r="BF476" s="4"/>
      <c r="BG476" s="4"/>
      <c r="BH476" s="4"/>
      <c r="BI476" s="4"/>
    </row>
    <row r="477" spans="10:61" s="2" customFormat="1" x14ac:dyDescent="0.3">
      <c r="J477" s="57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57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57"/>
      <c r="AG477" s="4"/>
      <c r="AH477" s="4"/>
      <c r="AI477" s="4"/>
      <c r="AJ477" s="4"/>
      <c r="AK477" s="4"/>
      <c r="AL477" s="4"/>
      <c r="AM477" s="4"/>
      <c r="AN477" s="4"/>
      <c r="AO477" s="4"/>
      <c r="AP477" s="4"/>
      <c r="AQ477" s="57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57"/>
      <c r="BC477" s="4"/>
      <c r="BD477" s="4"/>
      <c r="BE477" s="4"/>
      <c r="BF477" s="4"/>
      <c r="BG477" s="4"/>
      <c r="BH477" s="4"/>
      <c r="BI477" s="4"/>
    </row>
    <row r="478" spans="10:61" s="2" customFormat="1" x14ac:dyDescent="0.3">
      <c r="J478" s="57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57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57"/>
      <c r="AG478" s="4"/>
      <c r="AH478" s="4"/>
      <c r="AI478" s="4"/>
      <c r="AJ478" s="4"/>
      <c r="AK478" s="4"/>
      <c r="AL478" s="4"/>
      <c r="AM478" s="4"/>
      <c r="AN478" s="4"/>
      <c r="AO478" s="4"/>
      <c r="AP478" s="4"/>
      <c r="AQ478" s="57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57"/>
      <c r="BC478" s="4"/>
      <c r="BD478" s="4"/>
      <c r="BE478" s="4"/>
      <c r="BF478" s="4"/>
      <c r="BG478" s="4"/>
      <c r="BH478" s="4"/>
      <c r="BI478" s="4"/>
    </row>
    <row r="479" spans="10:61" s="2" customFormat="1" x14ac:dyDescent="0.3">
      <c r="J479" s="57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57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57"/>
      <c r="AG479" s="4"/>
      <c r="AH479" s="4"/>
      <c r="AI479" s="4"/>
      <c r="AJ479" s="4"/>
      <c r="AK479" s="4"/>
      <c r="AL479" s="4"/>
      <c r="AM479" s="4"/>
      <c r="AN479" s="4"/>
      <c r="AO479" s="4"/>
      <c r="AP479" s="4"/>
      <c r="AQ479" s="57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57"/>
      <c r="BC479" s="4"/>
      <c r="BD479" s="4"/>
      <c r="BE479" s="4"/>
      <c r="BF479" s="4"/>
      <c r="BG479" s="4"/>
      <c r="BH479" s="4"/>
      <c r="BI479" s="4"/>
    </row>
    <row r="480" spans="10:61" s="2" customFormat="1" x14ac:dyDescent="0.3">
      <c r="J480" s="57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57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57"/>
      <c r="AG480" s="4"/>
      <c r="AH480" s="4"/>
      <c r="AI480" s="4"/>
      <c r="AJ480" s="4"/>
      <c r="AK480" s="4"/>
      <c r="AL480" s="4"/>
      <c r="AM480" s="4"/>
      <c r="AN480" s="4"/>
      <c r="AO480" s="4"/>
      <c r="AP480" s="4"/>
      <c r="AQ480" s="57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57"/>
      <c r="BC480" s="4"/>
      <c r="BD480" s="4"/>
      <c r="BE480" s="4"/>
      <c r="BF480" s="4"/>
      <c r="BG480" s="4"/>
      <c r="BH480" s="4"/>
      <c r="BI480" s="4"/>
    </row>
    <row r="481" spans="10:61" s="2" customFormat="1" x14ac:dyDescent="0.3">
      <c r="J481" s="57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57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57"/>
      <c r="AG481" s="4"/>
      <c r="AH481" s="4"/>
      <c r="AI481" s="4"/>
      <c r="AJ481" s="4"/>
      <c r="AK481" s="4"/>
      <c r="AL481" s="4"/>
      <c r="AM481" s="4"/>
      <c r="AN481" s="4"/>
      <c r="AO481" s="4"/>
      <c r="AP481" s="4"/>
      <c r="AQ481" s="57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57"/>
      <c r="BC481" s="4"/>
      <c r="BD481" s="4"/>
      <c r="BE481" s="4"/>
      <c r="BF481" s="4"/>
      <c r="BG481" s="4"/>
      <c r="BH481" s="4"/>
      <c r="BI481" s="4"/>
    </row>
    <row r="482" spans="10:61" s="2" customFormat="1" x14ac:dyDescent="0.3">
      <c r="J482" s="57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57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57"/>
      <c r="AG482" s="4"/>
      <c r="AH482" s="4"/>
      <c r="AI482" s="4"/>
      <c r="AJ482" s="4"/>
      <c r="AK482" s="4"/>
      <c r="AL482" s="4"/>
      <c r="AM482" s="4"/>
      <c r="AN482" s="4"/>
      <c r="AO482" s="4"/>
      <c r="AP482" s="4"/>
      <c r="AQ482" s="57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57"/>
      <c r="BC482" s="4"/>
      <c r="BD482" s="4"/>
      <c r="BE482" s="4"/>
      <c r="BF482" s="4"/>
      <c r="BG482" s="4"/>
      <c r="BH482" s="4"/>
      <c r="BI482" s="4"/>
    </row>
    <row r="483" spans="10:61" s="2" customFormat="1" x14ac:dyDescent="0.3">
      <c r="J483" s="57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57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57"/>
      <c r="AG483" s="4"/>
      <c r="AH483" s="4"/>
      <c r="AI483" s="4"/>
      <c r="AJ483" s="4"/>
      <c r="AK483" s="4"/>
      <c r="AL483" s="4"/>
      <c r="AM483" s="4"/>
      <c r="AN483" s="4"/>
      <c r="AO483" s="4"/>
      <c r="AP483" s="4"/>
      <c r="AQ483" s="57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57"/>
      <c r="BC483" s="4"/>
      <c r="BD483" s="4"/>
      <c r="BE483" s="4"/>
      <c r="BF483" s="4"/>
      <c r="BG483" s="4"/>
      <c r="BH483" s="4"/>
      <c r="BI483" s="4"/>
    </row>
    <row r="484" spans="10:61" s="2" customFormat="1" x14ac:dyDescent="0.3">
      <c r="J484" s="57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57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57"/>
      <c r="AG484" s="4"/>
      <c r="AH484" s="4"/>
      <c r="AI484" s="4"/>
      <c r="AJ484" s="4"/>
      <c r="AK484" s="4"/>
      <c r="AL484" s="4"/>
      <c r="AM484" s="4"/>
      <c r="AN484" s="4"/>
      <c r="AO484" s="4"/>
      <c r="AP484" s="4"/>
      <c r="AQ484" s="57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57"/>
      <c r="BC484" s="4"/>
      <c r="BD484" s="4"/>
      <c r="BE484" s="4"/>
      <c r="BF484" s="4"/>
      <c r="BG484" s="4"/>
      <c r="BH484" s="4"/>
      <c r="BI484" s="4"/>
    </row>
    <row r="485" spans="10:61" s="2" customFormat="1" x14ac:dyDescent="0.3">
      <c r="J485" s="57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57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57"/>
      <c r="AG485" s="4"/>
      <c r="AH485" s="4"/>
      <c r="AI485" s="4"/>
      <c r="AJ485" s="4"/>
      <c r="AK485" s="4"/>
      <c r="AL485" s="4"/>
      <c r="AM485" s="4"/>
      <c r="AN485" s="4"/>
      <c r="AO485" s="4"/>
      <c r="AP485" s="4"/>
      <c r="AQ485" s="57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57"/>
      <c r="BC485" s="4"/>
      <c r="BD485" s="4"/>
      <c r="BE485" s="4"/>
      <c r="BF485" s="4"/>
      <c r="BG485" s="4"/>
      <c r="BH485" s="4"/>
      <c r="BI485" s="4"/>
    </row>
    <row r="486" spans="10:61" s="2" customFormat="1" x14ac:dyDescent="0.3">
      <c r="J486" s="57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57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57"/>
      <c r="AG486" s="4"/>
      <c r="AH486" s="4"/>
      <c r="AI486" s="4"/>
      <c r="AJ486" s="4"/>
      <c r="AK486" s="4"/>
      <c r="AL486" s="4"/>
      <c r="AM486" s="4"/>
      <c r="AN486" s="4"/>
      <c r="AO486" s="4"/>
      <c r="AP486" s="4"/>
      <c r="AQ486" s="57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57"/>
      <c r="BC486" s="4"/>
      <c r="BD486" s="4"/>
      <c r="BE486" s="4"/>
      <c r="BF486" s="4"/>
      <c r="BG486" s="4"/>
      <c r="BH486" s="4"/>
      <c r="BI486" s="4"/>
    </row>
    <row r="487" spans="10:61" s="2" customFormat="1" x14ac:dyDescent="0.3">
      <c r="J487" s="57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57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57"/>
      <c r="AG487" s="4"/>
      <c r="AH487" s="4"/>
      <c r="AI487" s="4"/>
      <c r="AJ487" s="4"/>
      <c r="AK487" s="4"/>
      <c r="AL487" s="4"/>
      <c r="AM487" s="4"/>
      <c r="AN487" s="4"/>
      <c r="AO487" s="4"/>
      <c r="AP487" s="4"/>
      <c r="AQ487" s="57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57"/>
      <c r="BC487" s="4"/>
      <c r="BD487" s="4"/>
      <c r="BE487" s="4"/>
      <c r="BF487" s="4"/>
      <c r="BG487" s="4"/>
      <c r="BH487" s="4"/>
      <c r="BI487" s="4"/>
    </row>
    <row r="488" spans="10:61" s="2" customFormat="1" x14ac:dyDescent="0.3">
      <c r="J488" s="57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57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57"/>
      <c r="AG488" s="4"/>
      <c r="AH488" s="4"/>
      <c r="AI488" s="4"/>
      <c r="AJ488" s="4"/>
      <c r="AK488" s="4"/>
      <c r="AL488" s="4"/>
      <c r="AM488" s="4"/>
      <c r="AN488" s="4"/>
      <c r="AO488" s="4"/>
      <c r="AP488" s="4"/>
      <c r="AQ488" s="57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57"/>
      <c r="BC488" s="4"/>
      <c r="BD488" s="4"/>
      <c r="BE488" s="4"/>
      <c r="BF488" s="4"/>
      <c r="BG488" s="4"/>
      <c r="BH488" s="4"/>
      <c r="BI488" s="4"/>
    </row>
    <row r="489" spans="10:61" s="2" customFormat="1" x14ac:dyDescent="0.3">
      <c r="J489" s="57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57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57"/>
      <c r="AG489" s="4"/>
      <c r="AH489" s="4"/>
      <c r="AI489" s="4"/>
      <c r="AJ489" s="4"/>
      <c r="AK489" s="4"/>
      <c r="AL489" s="4"/>
      <c r="AM489" s="4"/>
      <c r="AN489" s="4"/>
      <c r="AO489" s="4"/>
      <c r="AP489" s="4"/>
      <c r="AQ489" s="57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57"/>
      <c r="BC489" s="4"/>
      <c r="BD489" s="4"/>
      <c r="BE489" s="4"/>
      <c r="BF489" s="4"/>
      <c r="BG489" s="4"/>
      <c r="BH489" s="4"/>
      <c r="BI489" s="4"/>
    </row>
    <row r="490" spans="10:61" s="2" customFormat="1" x14ac:dyDescent="0.3">
      <c r="J490" s="57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57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57"/>
      <c r="AG490" s="4"/>
      <c r="AH490" s="4"/>
      <c r="AI490" s="4"/>
      <c r="AJ490" s="4"/>
      <c r="AK490" s="4"/>
      <c r="AL490" s="4"/>
      <c r="AM490" s="4"/>
      <c r="AN490" s="4"/>
      <c r="AO490" s="4"/>
      <c r="AP490" s="4"/>
      <c r="AQ490" s="57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57"/>
      <c r="BC490" s="4"/>
      <c r="BD490" s="4"/>
      <c r="BE490" s="4"/>
      <c r="BF490" s="4"/>
      <c r="BG490" s="4"/>
      <c r="BH490" s="4"/>
      <c r="BI490" s="4"/>
    </row>
    <row r="491" spans="10:61" s="2" customFormat="1" x14ac:dyDescent="0.3">
      <c r="J491" s="57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57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57"/>
      <c r="AG491" s="4"/>
      <c r="AH491" s="4"/>
      <c r="AI491" s="4"/>
      <c r="AJ491" s="4"/>
      <c r="AK491" s="4"/>
      <c r="AL491" s="4"/>
      <c r="AM491" s="4"/>
      <c r="AN491" s="4"/>
      <c r="AO491" s="4"/>
      <c r="AP491" s="4"/>
      <c r="AQ491" s="57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57"/>
      <c r="BC491" s="4"/>
      <c r="BD491" s="4"/>
      <c r="BE491" s="4"/>
      <c r="BF491" s="4"/>
      <c r="BG491" s="4"/>
      <c r="BH491" s="4"/>
      <c r="BI491" s="4"/>
    </row>
    <row r="492" spans="10:61" s="2" customFormat="1" x14ac:dyDescent="0.3">
      <c r="J492" s="57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57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57"/>
      <c r="AG492" s="4"/>
      <c r="AH492" s="4"/>
      <c r="AI492" s="4"/>
      <c r="AJ492" s="4"/>
      <c r="AK492" s="4"/>
      <c r="AL492" s="4"/>
      <c r="AM492" s="4"/>
      <c r="AN492" s="4"/>
      <c r="AO492" s="4"/>
      <c r="AP492" s="4"/>
      <c r="AQ492" s="57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57"/>
      <c r="BC492" s="4"/>
      <c r="BD492" s="4"/>
      <c r="BE492" s="4"/>
      <c r="BF492" s="4"/>
      <c r="BG492" s="4"/>
      <c r="BH492" s="4"/>
      <c r="BI492" s="4"/>
    </row>
    <row r="493" spans="10:61" s="2" customFormat="1" x14ac:dyDescent="0.3">
      <c r="J493" s="57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57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57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57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57"/>
      <c r="BC493" s="4"/>
      <c r="BD493" s="4"/>
      <c r="BE493" s="4"/>
      <c r="BF493" s="4"/>
      <c r="BG493" s="4"/>
      <c r="BH493" s="4"/>
      <c r="BI493" s="4"/>
    </row>
    <row r="494" spans="10:61" s="2" customFormat="1" x14ac:dyDescent="0.3">
      <c r="J494" s="57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57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57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57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57"/>
      <c r="BC494" s="4"/>
      <c r="BD494" s="4"/>
      <c r="BE494" s="4"/>
      <c r="BF494" s="4"/>
      <c r="BG494" s="4"/>
      <c r="BH494" s="4"/>
      <c r="BI494" s="4"/>
    </row>
    <row r="495" spans="10:61" s="2" customFormat="1" x14ac:dyDescent="0.3">
      <c r="J495" s="57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57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57"/>
      <c r="AG495" s="4"/>
      <c r="AH495" s="4"/>
      <c r="AI495" s="4"/>
      <c r="AJ495" s="4"/>
      <c r="AK495" s="4"/>
      <c r="AL495" s="4"/>
      <c r="AM495" s="4"/>
      <c r="AN495" s="4"/>
      <c r="AO495" s="4"/>
      <c r="AP495" s="4"/>
      <c r="AQ495" s="57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57"/>
      <c r="BC495" s="4"/>
      <c r="BD495" s="4"/>
      <c r="BE495" s="4"/>
      <c r="BF495" s="4"/>
      <c r="BG495" s="4"/>
      <c r="BH495" s="4"/>
      <c r="BI495" s="4"/>
    </row>
    <row r="496" spans="10:61" s="2" customFormat="1" x14ac:dyDescent="0.3">
      <c r="J496" s="57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57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57"/>
      <c r="AG496" s="4"/>
      <c r="AH496" s="4"/>
      <c r="AI496" s="4"/>
      <c r="AJ496" s="4"/>
      <c r="AK496" s="4"/>
      <c r="AL496" s="4"/>
      <c r="AM496" s="4"/>
      <c r="AN496" s="4"/>
      <c r="AO496" s="4"/>
      <c r="AP496" s="4"/>
      <c r="AQ496" s="57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57"/>
      <c r="BC496" s="4"/>
      <c r="BD496" s="4"/>
      <c r="BE496" s="4"/>
      <c r="BF496" s="4"/>
      <c r="BG496" s="4"/>
      <c r="BH496" s="4"/>
      <c r="BI496" s="4"/>
    </row>
    <row r="497" spans="10:61" s="2" customFormat="1" x14ac:dyDescent="0.3">
      <c r="J497" s="57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57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57"/>
      <c r="AG497" s="4"/>
      <c r="AH497" s="4"/>
      <c r="AI497" s="4"/>
      <c r="AJ497" s="4"/>
      <c r="AK497" s="4"/>
      <c r="AL497" s="4"/>
      <c r="AM497" s="4"/>
      <c r="AN497" s="4"/>
      <c r="AO497" s="4"/>
      <c r="AP497" s="4"/>
      <c r="AQ497" s="57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57"/>
      <c r="BC497" s="4"/>
      <c r="BD497" s="4"/>
      <c r="BE497" s="4"/>
      <c r="BF497" s="4"/>
      <c r="BG497" s="4"/>
      <c r="BH497" s="4"/>
      <c r="BI497" s="4"/>
    </row>
    <row r="498" spans="10:61" s="2" customFormat="1" x14ac:dyDescent="0.3">
      <c r="J498" s="57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57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57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57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57"/>
      <c r="BC498" s="4"/>
      <c r="BD498" s="4"/>
      <c r="BE498" s="4"/>
      <c r="BF498" s="4"/>
      <c r="BG498" s="4"/>
      <c r="BH498" s="4"/>
      <c r="BI498" s="4"/>
    </row>
    <row r="499" spans="10:61" s="2" customFormat="1" x14ac:dyDescent="0.3">
      <c r="J499" s="57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57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57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57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57"/>
      <c r="BC499" s="4"/>
      <c r="BD499" s="4"/>
      <c r="BE499" s="4"/>
      <c r="BF499" s="4"/>
      <c r="BG499" s="4"/>
      <c r="BH499" s="4"/>
      <c r="BI499" s="4"/>
    </row>
    <row r="500" spans="10:61" s="2" customFormat="1" x14ac:dyDescent="0.3">
      <c r="J500" s="57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57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57"/>
      <c r="AG500" s="4"/>
      <c r="AH500" s="4"/>
      <c r="AI500" s="4"/>
      <c r="AJ500" s="4"/>
      <c r="AK500" s="4"/>
      <c r="AL500" s="4"/>
      <c r="AM500" s="4"/>
      <c r="AN500" s="4"/>
      <c r="AO500" s="4"/>
      <c r="AP500" s="4"/>
      <c r="AQ500" s="57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57"/>
      <c r="BC500" s="4"/>
      <c r="BD500" s="4"/>
      <c r="BE500" s="4"/>
      <c r="BF500" s="4"/>
      <c r="BG500" s="4"/>
      <c r="BH500" s="4"/>
      <c r="BI500" s="4"/>
    </row>
    <row r="501" spans="10:61" s="2" customFormat="1" x14ac:dyDescent="0.3">
      <c r="J501" s="57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57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57"/>
      <c r="AG501" s="4"/>
      <c r="AH501" s="4"/>
      <c r="AI501" s="4"/>
      <c r="AJ501" s="4"/>
      <c r="AK501" s="4"/>
      <c r="AL501" s="4"/>
      <c r="AM501" s="4"/>
      <c r="AN501" s="4"/>
      <c r="AO501" s="4"/>
      <c r="AP501" s="4"/>
      <c r="AQ501" s="57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57"/>
      <c r="BC501" s="4"/>
      <c r="BD501" s="4"/>
      <c r="BE501" s="4"/>
      <c r="BF501" s="4"/>
      <c r="BG501" s="4"/>
      <c r="BH501" s="4"/>
      <c r="BI501" s="4"/>
    </row>
    <row r="502" spans="10:61" s="2" customFormat="1" x14ac:dyDescent="0.3">
      <c r="J502" s="57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57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57"/>
      <c r="AG502" s="4"/>
      <c r="AH502" s="4"/>
      <c r="AI502" s="4"/>
      <c r="AJ502" s="4"/>
      <c r="AK502" s="4"/>
      <c r="AL502" s="4"/>
      <c r="AM502" s="4"/>
      <c r="AN502" s="4"/>
      <c r="AO502" s="4"/>
      <c r="AP502" s="4"/>
      <c r="AQ502" s="57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57"/>
      <c r="BC502" s="4"/>
      <c r="BD502" s="4"/>
      <c r="BE502" s="4"/>
      <c r="BF502" s="4"/>
      <c r="BG502" s="4"/>
      <c r="BH502" s="4"/>
      <c r="BI502" s="4"/>
    </row>
    <row r="503" spans="10:61" s="2" customFormat="1" x14ac:dyDescent="0.3">
      <c r="J503" s="57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57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57"/>
      <c r="AG503" s="4"/>
      <c r="AH503" s="4"/>
      <c r="AI503" s="4"/>
      <c r="AJ503" s="4"/>
      <c r="AK503" s="4"/>
      <c r="AL503" s="4"/>
      <c r="AM503" s="4"/>
      <c r="AN503" s="4"/>
      <c r="AO503" s="4"/>
      <c r="AP503" s="4"/>
      <c r="AQ503" s="57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57"/>
      <c r="BC503" s="4"/>
      <c r="BD503" s="4"/>
      <c r="BE503" s="4"/>
      <c r="BF503" s="4"/>
      <c r="BG503" s="4"/>
      <c r="BH503" s="4"/>
      <c r="BI503" s="4"/>
    </row>
    <row r="504" spans="10:61" s="2" customFormat="1" x14ac:dyDescent="0.3">
      <c r="J504" s="57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57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57"/>
      <c r="AG504" s="4"/>
      <c r="AH504" s="4"/>
      <c r="AI504" s="4"/>
      <c r="AJ504" s="4"/>
      <c r="AK504" s="4"/>
      <c r="AL504" s="4"/>
      <c r="AM504" s="4"/>
      <c r="AN504" s="4"/>
      <c r="AO504" s="4"/>
      <c r="AP504" s="4"/>
      <c r="AQ504" s="57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57"/>
      <c r="BC504" s="4"/>
      <c r="BD504" s="4"/>
      <c r="BE504" s="4"/>
      <c r="BF504" s="4"/>
      <c r="BG504" s="4"/>
      <c r="BH504" s="4"/>
      <c r="BI504" s="4"/>
    </row>
    <row r="505" spans="10:61" s="2" customFormat="1" x14ac:dyDescent="0.3">
      <c r="J505" s="57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57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57"/>
      <c r="AG505" s="4"/>
      <c r="AH505" s="4"/>
      <c r="AI505" s="4"/>
      <c r="AJ505" s="4"/>
      <c r="AK505" s="4"/>
      <c r="AL505" s="4"/>
      <c r="AM505" s="4"/>
      <c r="AN505" s="4"/>
      <c r="AO505" s="4"/>
      <c r="AP505" s="4"/>
      <c r="AQ505" s="57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57"/>
      <c r="BC505" s="4"/>
      <c r="BD505" s="4"/>
      <c r="BE505" s="4"/>
      <c r="BF505" s="4"/>
      <c r="BG505" s="4"/>
      <c r="BH505" s="4"/>
      <c r="BI505" s="4"/>
    </row>
    <row r="506" spans="10:61" s="2" customFormat="1" x14ac:dyDescent="0.3">
      <c r="J506" s="57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57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57"/>
      <c r="AG506" s="4"/>
      <c r="AH506" s="4"/>
      <c r="AI506" s="4"/>
      <c r="AJ506" s="4"/>
      <c r="AK506" s="4"/>
      <c r="AL506" s="4"/>
      <c r="AM506" s="4"/>
      <c r="AN506" s="4"/>
      <c r="AO506" s="4"/>
      <c r="AP506" s="4"/>
      <c r="AQ506" s="57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57"/>
      <c r="BC506" s="4"/>
      <c r="BD506" s="4"/>
      <c r="BE506" s="4"/>
      <c r="BF506" s="4"/>
      <c r="BG506" s="4"/>
      <c r="BH506" s="4"/>
      <c r="BI506" s="4"/>
    </row>
    <row r="507" spans="10:61" s="2" customFormat="1" x14ac:dyDescent="0.3">
      <c r="J507" s="57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57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57"/>
      <c r="AG507" s="4"/>
      <c r="AH507" s="4"/>
      <c r="AI507" s="4"/>
      <c r="AJ507" s="4"/>
      <c r="AK507" s="4"/>
      <c r="AL507" s="4"/>
      <c r="AM507" s="4"/>
      <c r="AN507" s="4"/>
      <c r="AO507" s="4"/>
      <c r="AP507" s="4"/>
      <c r="AQ507" s="57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57"/>
      <c r="BC507" s="4"/>
      <c r="BD507" s="4"/>
      <c r="BE507" s="4"/>
      <c r="BF507" s="4"/>
      <c r="BG507" s="4"/>
      <c r="BH507" s="4"/>
      <c r="BI507" s="4"/>
    </row>
    <row r="508" spans="10:61" s="2" customFormat="1" x14ac:dyDescent="0.3">
      <c r="J508" s="57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57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57"/>
      <c r="AG508" s="4"/>
      <c r="AH508" s="4"/>
      <c r="AI508" s="4"/>
      <c r="AJ508" s="4"/>
      <c r="AK508" s="4"/>
      <c r="AL508" s="4"/>
      <c r="AM508" s="4"/>
      <c r="AN508" s="4"/>
      <c r="AO508" s="4"/>
      <c r="AP508" s="4"/>
      <c r="AQ508" s="57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57"/>
      <c r="BC508" s="4"/>
      <c r="BD508" s="4"/>
      <c r="BE508" s="4"/>
      <c r="BF508" s="4"/>
      <c r="BG508" s="4"/>
      <c r="BH508" s="4"/>
      <c r="BI508" s="4"/>
    </row>
    <row r="509" spans="10:61" s="2" customFormat="1" x14ac:dyDescent="0.3">
      <c r="J509" s="57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57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57"/>
      <c r="AG509" s="4"/>
      <c r="AH509" s="4"/>
      <c r="AI509" s="4"/>
      <c r="AJ509" s="4"/>
      <c r="AK509" s="4"/>
      <c r="AL509" s="4"/>
      <c r="AM509" s="4"/>
      <c r="AN509" s="4"/>
      <c r="AO509" s="4"/>
      <c r="AP509" s="4"/>
      <c r="AQ509" s="57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57"/>
      <c r="BC509" s="4"/>
      <c r="BD509" s="4"/>
      <c r="BE509" s="4"/>
      <c r="BF509" s="4"/>
      <c r="BG509" s="4"/>
      <c r="BH509" s="4"/>
      <c r="BI509" s="4"/>
    </row>
    <row r="510" spans="10:61" s="2" customFormat="1" x14ac:dyDescent="0.3">
      <c r="J510" s="57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57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57"/>
      <c r="AG510" s="4"/>
      <c r="AH510" s="4"/>
      <c r="AI510" s="4"/>
      <c r="AJ510" s="4"/>
      <c r="AK510" s="4"/>
      <c r="AL510" s="4"/>
      <c r="AM510" s="4"/>
      <c r="AN510" s="4"/>
      <c r="AO510" s="4"/>
      <c r="AP510" s="4"/>
      <c r="AQ510" s="57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57"/>
      <c r="BC510" s="4"/>
      <c r="BD510" s="4"/>
      <c r="BE510" s="4"/>
      <c r="BF510" s="4"/>
      <c r="BG510" s="4"/>
      <c r="BH510" s="4"/>
      <c r="BI510" s="4"/>
    </row>
    <row r="511" spans="10:61" s="2" customFormat="1" x14ac:dyDescent="0.3">
      <c r="J511" s="57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57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57"/>
      <c r="AG511" s="4"/>
      <c r="AH511" s="4"/>
      <c r="AI511" s="4"/>
      <c r="AJ511" s="4"/>
      <c r="AK511" s="4"/>
      <c r="AL511" s="4"/>
      <c r="AM511" s="4"/>
      <c r="AN511" s="4"/>
      <c r="AO511" s="4"/>
      <c r="AP511" s="4"/>
      <c r="AQ511" s="57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57"/>
      <c r="BC511" s="4"/>
      <c r="BD511" s="4"/>
      <c r="BE511" s="4"/>
      <c r="BF511" s="4"/>
      <c r="BG511" s="4"/>
      <c r="BH511" s="4"/>
      <c r="BI511" s="4"/>
    </row>
    <row r="512" spans="10:61" s="2" customFormat="1" x14ac:dyDescent="0.3">
      <c r="J512" s="57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57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57"/>
      <c r="AG512" s="4"/>
      <c r="AH512" s="4"/>
      <c r="AI512" s="4"/>
      <c r="AJ512" s="4"/>
      <c r="AK512" s="4"/>
      <c r="AL512" s="4"/>
      <c r="AM512" s="4"/>
      <c r="AN512" s="4"/>
      <c r="AO512" s="4"/>
      <c r="AP512" s="4"/>
      <c r="AQ512" s="57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57"/>
      <c r="BC512" s="4"/>
      <c r="BD512" s="4"/>
      <c r="BE512" s="4"/>
      <c r="BF512" s="4"/>
      <c r="BG512" s="4"/>
      <c r="BH512" s="4"/>
      <c r="BI512" s="4"/>
    </row>
    <row r="513" spans="10:61" s="2" customFormat="1" x14ac:dyDescent="0.3">
      <c r="J513" s="57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57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57"/>
      <c r="AG513" s="4"/>
      <c r="AH513" s="4"/>
      <c r="AI513" s="4"/>
      <c r="AJ513" s="4"/>
      <c r="AK513" s="4"/>
      <c r="AL513" s="4"/>
      <c r="AM513" s="4"/>
      <c r="AN513" s="4"/>
      <c r="AO513" s="4"/>
      <c r="AP513" s="4"/>
      <c r="AQ513" s="57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57"/>
      <c r="BC513" s="4"/>
      <c r="BD513" s="4"/>
      <c r="BE513" s="4"/>
      <c r="BF513" s="4"/>
      <c r="BG513" s="4"/>
      <c r="BH513" s="4"/>
      <c r="BI513" s="4"/>
    </row>
    <row r="514" spans="10:61" s="2" customFormat="1" x14ac:dyDescent="0.3">
      <c r="J514" s="57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57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57"/>
      <c r="AG514" s="4"/>
      <c r="AH514" s="4"/>
      <c r="AI514" s="4"/>
      <c r="AJ514" s="4"/>
      <c r="AK514" s="4"/>
      <c r="AL514" s="4"/>
      <c r="AM514" s="4"/>
      <c r="AN514" s="4"/>
      <c r="AO514" s="4"/>
      <c r="AP514" s="4"/>
      <c r="AQ514" s="57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57"/>
      <c r="BC514" s="4"/>
      <c r="BD514" s="4"/>
      <c r="BE514" s="4"/>
      <c r="BF514" s="4"/>
      <c r="BG514" s="4"/>
      <c r="BH514" s="4"/>
      <c r="BI514" s="4"/>
    </row>
    <row r="515" spans="10:61" s="2" customFormat="1" x14ac:dyDescent="0.3">
      <c r="J515" s="57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57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57"/>
      <c r="AG515" s="4"/>
      <c r="AH515" s="4"/>
      <c r="AI515" s="4"/>
      <c r="AJ515" s="4"/>
      <c r="AK515" s="4"/>
      <c r="AL515" s="4"/>
      <c r="AM515" s="4"/>
      <c r="AN515" s="4"/>
      <c r="AO515" s="4"/>
      <c r="AP515" s="4"/>
      <c r="AQ515" s="57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57"/>
      <c r="BC515" s="4"/>
      <c r="BD515" s="4"/>
      <c r="BE515" s="4"/>
      <c r="BF515" s="4"/>
      <c r="BG515" s="4"/>
      <c r="BH515" s="4"/>
      <c r="BI515" s="4"/>
    </row>
    <row r="516" spans="10:61" s="2" customFormat="1" x14ac:dyDescent="0.3">
      <c r="J516" s="57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57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57"/>
      <c r="AG516" s="4"/>
      <c r="AH516" s="4"/>
      <c r="AI516" s="4"/>
      <c r="AJ516" s="4"/>
      <c r="AK516" s="4"/>
      <c r="AL516" s="4"/>
      <c r="AM516" s="4"/>
      <c r="AN516" s="4"/>
      <c r="AO516" s="4"/>
      <c r="AP516" s="4"/>
      <c r="AQ516" s="57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57"/>
      <c r="BC516" s="4"/>
      <c r="BD516" s="4"/>
      <c r="BE516" s="4"/>
      <c r="BF516" s="4"/>
      <c r="BG516" s="4"/>
      <c r="BH516" s="4"/>
      <c r="BI516" s="4"/>
    </row>
    <row r="517" spans="10:61" s="2" customFormat="1" x14ac:dyDescent="0.3">
      <c r="J517" s="57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57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57"/>
      <c r="AG517" s="4"/>
      <c r="AH517" s="4"/>
      <c r="AI517" s="4"/>
      <c r="AJ517" s="4"/>
      <c r="AK517" s="4"/>
      <c r="AL517" s="4"/>
      <c r="AM517" s="4"/>
      <c r="AN517" s="4"/>
      <c r="AO517" s="4"/>
      <c r="AP517" s="4"/>
      <c r="AQ517" s="57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57"/>
      <c r="BC517" s="4"/>
      <c r="BD517" s="4"/>
      <c r="BE517" s="4"/>
      <c r="BF517" s="4"/>
      <c r="BG517" s="4"/>
      <c r="BH517" s="4"/>
      <c r="BI517" s="4"/>
    </row>
    <row r="518" spans="10:61" s="2" customFormat="1" x14ac:dyDescent="0.3">
      <c r="J518" s="57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57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57"/>
      <c r="AG518" s="4"/>
      <c r="AH518" s="4"/>
      <c r="AI518" s="4"/>
      <c r="AJ518" s="4"/>
      <c r="AK518" s="4"/>
      <c r="AL518" s="4"/>
      <c r="AM518" s="4"/>
      <c r="AN518" s="4"/>
      <c r="AO518" s="4"/>
      <c r="AP518" s="4"/>
      <c r="AQ518" s="57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57"/>
      <c r="BC518" s="4"/>
      <c r="BD518" s="4"/>
      <c r="BE518" s="4"/>
      <c r="BF518" s="4"/>
      <c r="BG518" s="4"/>
      <c r="BH518" s="4"/>
      <c r="BI518" s="4"/>
    </row>
    <row r="519" spans="10:61" s="2" customFormat="1" x14ac:dyDescent="0.3">
      <c r="J519" s="57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57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57"/>
      <c r="AG519" s="4"/>
      <c r="AH519" s="4"/>
      <c r="AI519" s="4"/>
      <c r="AJ519" s="4"/>
      <c r="AK519" s="4"/>
      <c r="AL519" s="4"/>
      <c r="AM519" s="4"/>
      <c r="AN519" s="4"/>
      <c r="AO519" s="4"/>
      <c r="AP519" s="4"/>
      <c r="AQ519" s="57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57"/>
      <c r="BC519" s="4"/>
      <c r="BD519" s="4"/>
      <c r="BE519" s="4"/>
      <c r="BF519" s="4"/>
      <c r="BG519" s="4"/>
      <c r="BH519" s="4"/>
      <c r="BI519" s="4"/>
    </row>
    <row r="520" spans="10:61" s="2" customFormat="1" x14ac:dyDescent="0.3">
      <c r="J520" s="57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57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57"/>
      <c r="AG520" s="4"/>
      <c r="AH520" s="4"/>
      <c r="AI520" s="4"/>
      <c r="AJ520" s="4"/>
      <c r="AK520" s="4"/>
      <c r="AL520" s="4"/>
      <c r="AM520" s="4"/>
      <c r="AN520" s="4"/>
      <c r="AO520" s="4"/>
      <c r="AP520" s="4"/>
      <c r="AQ520" s="57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57"/>
      <c r="BC520" s="4"/>
      <c r="BD520" s="4"/>
      <c r="BE520" s="4"/>
      <c r="BF520" s="4"/>
      <c r="BG520" s="4"/>
      <c r="BH520" s="4"/>
      <c r="BI520" s="4"/>
    </row>
    <row r="521" spans="10:61" s="2" customFormat="1" x14ac:dyDescent="0.3">
      <c r="J521" s="57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57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57"/>
      <c r="AG521" s="4"/>
      <c r="AH521" s="4"/>
      <c r="AI521" s="4"/>
      <c r="AJ521" s="4"/>
      <c r="AK521" s="4"/>
      <c r="AL521" s="4"/>
      <c r="AM521" s="4"/>
      <c r="AN521" s="4"/>
      <c r="AO521" s="4"/>
      <c r="AP521" s="4"/>
      <c r="AQ521" s="57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57"/>
      <c r="BC521" s="4"/>
      <c r="BD521" s="4"/>
      <c r="BE521" s="4"/>
      <c r="BF521" s="4"/>
      <c r="BG521" s="4"/>
      <c r="BH521" s="4"/>
      <c r="BI521" s="4"/>
    </row>
    <row r="522" spans="10:61" s="2" customFormat="1" x14ac:dyDescent="0.3">
      <c r="J522" s="57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57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57"/>
      <c r="AG522" s="4"/>
      <c r="AH522" s="4"/>
      <c r="AI522" s="4"/>
      <c r="AJ522" s="4"/>
      <c r="AK522" s="4"/>
      <c r="AL522" s="4"/>
      <c r="AM522" s="4"/>
      <c r="AN522" s="4"/>
      <c r="AO522" s="4"/>
      <c r="AP522" s="4"/>
      <c r="AQ522" s="57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57"/>
      <c r="BC522" s="4"/>
      <c r="BD522" s="4"/>
      <c r="BE522" s="4"/>
      <c r="BF522" s="4"/>
      <c r="BG522" s="4"/>
      <c r="BH522" s="4"/>
      <c r="BI522" s="4"/>
    </row>
    <row r="523" spans="10:61" s="2" customFormat="1" x14ac:dyDescent="0.3">
      <c r="J523" s="57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57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57"/>
      <c r="AG523" s="4"/>
      <c r="AH523" s="4"/>
      <c r="AI523" s="4"/>
      <c r="AJ523" s="4"/>
      <c r="AK523" s="4"/>
      <c r="AL523" s="4"/>
      <c r="AM523" s="4"/>
      <c r="AN523" s="4"/>
      <c r="AO523" s="4"/>
      <c r="AP523" s="4"/>
      <c r="AQ523" s="57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57"/>
      <c r="BC523" s="4"/>
      <c r="BD523" s="4"/>
      <c r="BE523" s="4"/>
      <c r="BF523" s="4"/>
      <c r="BG523" s="4"/>
      <c r="BH523" s="4"/>
      <c r="BI523" s="4"/>
    </row>
    <row r="524" spans="10:61" s="2" customFormat="1" x14ac:dyDescent="0.3">
      <c r="J524" s="57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57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57"/>
      <c r="AG524" s="4"/>
      <c r="AH524" s="4"/>
      <c r="AI524" s="4"/>
      <c r="AJ524" s="4"/>
      <c r="AK524" s="4"/>
      <c r="AL524" s="4"/>
      <c r="AM524" s="4"/>
      <c r="AN524" s="4"/>
      <c r="AO524" s="4"/>
      <c r="AP524" s="4"/>
      <c r="AQ524" s="57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57"/>
      <c r="BC524" s="4"/>
      <c r="BD524" s="4"/>
      <c r="BE524" s="4"/>
      <c r="BF524" s="4"/>
      <c r="BG524" s="4"/>
      <c r="BH524" s="4"/>
      <c r="BI524" s="4"/>
    </row>
    <row r="525" spans="10:61" s="2" customFormat="1" x14ac:dyDescent="0.3">
      <c r="J525" s="57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57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57"/>
      <c r="AG525" s="4"/>
      <c r="AH525" s="4"/>
      <c r="AI525" s="4"/>
      <c r="AJ525" s="4"/>
      <c r="AK525" s="4"/>
      <c r="AL525" s="4"/>
      <c r="AM525" s="4"/>
      <c r="AN525" s="4"/>
      <c r="AO525" s="4"/>
      <c r="AP525" s="4"/>
      <c r="AQ525" s="57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57"/>
      <c r="BC525" s="4"/>
      <c r="BD525" s="4"/>
      <c r="BE525" s="4"/>
      <c r="BF525" s="4"/>
      <c r="BG525" s="4"/>
      <c r="BH525" s="4"/>
      <c r="BI525" s="4"/>
    </row>
    <row r="526" spans="10:61" s="2" customFormat="1" x14ac:dyDescent="0.3">
      <c r="J526" s="57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57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57"/>
      <c r="AG526" s="4"/>
      <c r="AH526" s="4"/>
      <c r="AI526" s="4"/>
      <c r="AJ526" s="4"/>
      <c r="AK526" s="4"/>
      <c r="AL526" s="4"/>
      <c r="AM526" s="4"/>
      <c r="AN526" s="4"/>
      <c r="AO526" s="4"/>
      <c r="AP526" s="4"/>
      <c r="AQ526" s="57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57"/>
      <c r="BC526" s="4"/>
      <c r="BD526" s="4"/>
      <c r="BE526" s="4"/>
      <c r="BF526" s="4"/>
      <c r="BG526" s="4"/>
      <c r="BH526" s="4"/>
      <c r="BI526" s="4"/>
    </row>
    <row r="527" spans="10:61" s="2" customFormat="1" x14ac:dyDescent="0.3">
      <c r="J527" s="57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57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57"/>
      <c r="AG527" s="4"/>
      <c r="AH527" s="4"/>
      <c r="AI527" s="4"/>
      <c r="AJ527" s="4"/>
      <c r="AK527" s="4"/>
      <c r="AL527" s="4"/>
      <c r="AM527" s="4"/>
      <c r="AN527" s="4"/>
      <c r="AO527" s="4"/>
      <c r="AP527" s="4"/>
      <c r="AQ527" s="57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57"/>
      <c r="BC527" s="4"/>
      <c r="BD527" s="4"/>
      <c r="BE527" s="4"/>
      <c r="BF527" s="4"/>
      <c r="BG527" s="4"/>
      <c r="BH527" s="4"/>
      <c r="BI527" s="4"/>
    </row>
    <row r="528" spans="10:61" s="2" customFormat="1" x14ac:dyDescent="0.3">
      <c r="J528" s="57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57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57"/>
      <c r="AG528" s="4"/>
      <c r="AH528" s="4"/>
      <c r="AI528" s="4"/>
      <c r="AJ528" s="4"/>
      <c r="AK528" s="4"/>
      <c r="AL528" s="4"/>
      <c r="AM528" s="4"/>
      <c r="AN528" s="4"/>
      <c r="AO528" s="4"/>
      <c r="AP528" s="4"/>
      <c r="AQ528" s="57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57"/>
      <c r="BC528" s="4"/>
      <c r="BD528" s="4"/>
      <c r="BE528" s="4"/>
      <c r="BF528" s="4"/>
      <c r="BG528" s="4"/>
      <c r="BH528" s="4"/>
      <c r="BI528" s="4"/>
    </row>
    <row r="529" spans="10:61" s="2" customFormat="1" x14ac:dyDescent="0.3">
      <c r="J529" s="57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57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57"/>
      <c r="AG529" s="4"/>
      <c r="AH529" s="4"/>
      <c r="AI529" s="4"/>
      <c r="AJ529" s="4"/>
      <c r="AK529" s="4"/>
      <c r="AL529" s="4"/>
      <c r="AM529" s="4"/>
      <c r="AN529" s="4"/>
      <c r="AO529" s="4"/>
      <c r="AP529" s="4"/>
      <c r="AQ529" s="57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57"/>
      <c r="BC529" s="4"/>
      <c r="BD529" s="4"/>
      <c r="BE529" s="4"/>
      <c r="BF529" s="4"/>
      <c r="BG529" s="4"/>
      <c r="BH529" s="4"/>
      <c r="BI529" s="4"/>
    </row>
    <row r="530" spans="10:61" s="2" customFormat="1" x14ac:dyDescent="0.3">
      <c r="J530" s="57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57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57"/>
      <c r="AG530" s="4"/>
      <c r="AH530" s="4"/>
      <c r="AI530" s="4"/>
      <c r="AJ530" s="4"/>
      <c r="AK530" s="4"/>
      <c r="AL530" s="4"/>
      <c r="AM530" s="4"/>
      <c r="AN530" s="4"/>
      <c r="AO530" s="4"/>
      <c r="AP530" s="4"/>
      <c r="AQ530" s="57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57"/>
      <c r="BC530" s="4"/>
      <c r="BD530" s="4"/>
      <c r="BE530" s="4"/>
      <c r="BF530" s="4"/>
      <c r="BG530" s="4"/>
      <c r="BH530" s="4"/>
      <c r="BI530" s="4"/>
    </row>
    <row r="531" spans="10:61" s="2" customFormat="1" x14ac:dyDescent="0.3">
      <c r="J531" s="57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57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57"/>
      <c r="AG531" s="4"/>
      <c r="AH531" s="4"/>
      <c r="AI531" s="4"/>
      <c r="AJ531" s="4"/>
      <c r="AK531" s="4"/>
      <c r="AL531" s="4"/>
      <c r="AM531" s="4"/>
      <c r="AN531" s="4"/>
      <c r="AO531" s="4"/>
      <c r="AP531" s="4"/>
      <c r="AQ531" s="57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57"/>
      <c r="BC531" s="4"/>
      <c r="BD531" s="4"/>
      <c r="BE531" s="4"/>
      <c r="BF531" s="4"/>
      <c r="BG531" s="4"/>
      <c r="BH531" s="4"/>
      <c r="BI531" s="4"/>
    </row>
    <row r="532" spans="10:61" s="2" customFormat="1" x14ac:dyDescent="0.3">
      <c r="J532" s="57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57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57"/>
      <c r="AG532" s="4"/>
      <c r="AH532" s="4"/>
      <c r="AI532" s="4"/>
      <c r="AJ532" s="4"/>
      <c r="AK532" s="4"/>
      <c r="AL532" s="4"/>
      <c r="AM532" s="4"/>
      <c r="AN532" s="4"/>
      <c r="AO532" s="4"/>
      <c r="AP532" s="4"/>
      <c r="AQ532" s="57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57"/>
      <c r="BC532" s="4"/>
      <c r="BD532" s="4"/>
      <c r="BE532" s="4"/>
      <c r="BF532" s="4"/>
      <c r="BG532" s="4"/>
      <c r="BH532" s="4"/>
      <c r="BI532" s="4"/>
    </row>
    <row r="533" spans="10:61" s="2" customFormat="1" x14ac:dyDescent="0.3">
      <c r="J533" s="57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57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57"/>
      <c r="AG533" s="4"/>
      <c r="AH533" s="4"/>
      <c r="AI533" s="4"/>
      <c r="AJ533" s="4"/>
      <c r="AK533" s="4"/>
      <c r="AL533" s="4"/>
      <c r="AM533" s="4"/>
      <c r="AN533" s="4"/>
      <c r="AO533" s="4"/>
      <c r="AP533" s="4"/>
      <c r="AQ533" s="57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57"/>
      <c r="BC533" s="4"/>
      <c r="BD533" s="4"/>
      <c r="BE533" s="4"/>
      <c r="BF533" s="4"/>
      <c r="BG533" s="4"/>
      <c r="BH533" s="4"/>
      <c r="BI533" s="4"/>
    </row>
    <row r="534" spans="10:61" s="2" customFormat="1" x14ac:dyDescent="0.3">
      <c r="J534" s="57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57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57"/>
      <c r="AG534" s="4"/>
      <c r="AH534" s="4"/>
      <c r="AI534" s="4"/>
      <c r="AJ534" s="4"/>
      <c r="AK534" s="4"/>
      <c r="AL534" s="4"/>
      <c r="AM534" s="4"/>
      <c r="AN534" s="4"/>
      <c r="AO534" s="4"/>
      <c r="AP534" s="4"/>
      <c r="AQ534" s="57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57"/>
      <c r="BC534" s="4"/>
      <c r="BD534" s="4"/>
      <c r="BE534" s="4"/>
      <c r="BF534" s="4"/>
      <c r="BG534" s="4"/>
      <c r="BH534" s="4"/>
      <c r="BI534" s="4"/>
    </row>
    <row r="535" spans="10:61" s="2" customFormat="1" x14ac:dyDescent="0.3">
      <c r="J535" s="57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57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57"/>
      <c r="AG535" s="4"/>
      <c r="AH535" s="4"/>
      <c r="AI535" s="4"/>
      <c r="AJ535" s="4"/>
      <c r="AK535" s="4"/>
      <c r="AL535" s="4"/>
      <c r="AM535" s="4"/>
      <c r="AN535" s="4"/>
      <c r="AO535" s="4"/>
      <c r="AP535" s="4"/>
      <c r="AQ535" s="57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57"/>
      <c r="BC535" s="4"/>
      <c r="BD535" s="4"/>
      <c r="BE535" s="4"/>
      <c r="BF535" s="4"/>
      <c r="BG535" s="4"/>
      <c r="BH535" s="4"/>
      <c r="BI535" s="4"/>
    </row>
    <row r="536" spans="10:61" s="2" customFormat="1" x14ac:dyDescent="0.3">
      <c r="J536" s="57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57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57"/>
      <c r="AG536" s="4"/>
      <c r="AH536" s="4"/>
      <c r="AI536" s="4"/>
      <c r="AJ536" s="4"/>
      <c r="AK536" s="4"/>
      <c r="AL536" s="4"/>
      <c r="AM536" s="4"/>
      <c r="AN536" s="4"/>
      <c r="AO536" s="4"/>
      <c r="AP536" s="4"/>
      <c r="AQ536" s="57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57"/>
      <c r="BC536" s="4"/>
      <c r="BD536" s="4"/>
      <c r="BE536" s="4"/>
      <c r="BF536" s="4"/>
      <c r="BG536" s="4"/>
      <c r="BH536" s="4"/>
      <c r="BI536" s="4"/>
    </row>
    <row r="537" spans="10:61" s="2" customFormat="1" x14ac:dyDescent="0.3">
      <c r="J537" s="57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57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57"/>
      <c r="AG537" s="4"/>
      <c r="AH537" s="4"/>
      <c r="AI537" s="4"/>
      <c r="AJ537" s="4"/>
      <c r="AK537" s="4"/>
      <c r="AL537" s="4"/>
      <c r="AM537" s="4"/>
      <c r="AN537" s="4"/>
      <c r="AO537" s="4"/>
      <c r="AP537" s="4"/>
      <c r="AQ537" s="57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57"/>
      <c r="BC537" s="4"/>
      <c r="BD537" s="4"/>
      <c r="BE537" s="4"/>
      <c r="BF537" s="4"/>
      <c r="BG537" s="4"/>
      <c r="BH537" s="4"/>
      <c r="BI537" s="4"/>
    </row>
    <row r="538" spans="10:61" s="2" customFormat="1" x14ac:dyDescent="0.3">
      <c r="J538" s="57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57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57"/>
      <c r="AG538" s="4"/>
      <c r="AH538" s="4"/>
      <c r="AI538" s="4"/>
      <c r="AJ538" s="4"/>
      <c r="AK538" s="4"/>
      <c r="AL538" s="4"/>
      <c r="AM538" s="4"/>
      <c r="AN538" s="4"/>
      <c r="AO538" s="4"/>
      <c r="AP538" s="4"/>
      <c r="AQ538" s="57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57"/>
      <c r="BC538" s="4"/>
      <c r="BD538" s="4"/>
      <c r="BE538" s="4"/>
      <c r="BF538" s="4"/>
      <c r="BG538" s="4"/>
      <c r="BH538" s="4"/>
      <c r="BI538" s="4"/>
    </row>
    <row r="539" spans="10:61" s="2" customFormat="1" x14ac:dyDescent="0.3">
      <c r="J539" s="57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57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57"/>
      <c r="AG539" s="4"/>
      <c r="AH539" s="4"/>
      <c r="AI539" s="4"/>
      <c r="AJ539" s="4"/>
      <c r="AK539" s="4"/>
      <c r="AL539" s="4"/>
      <c r="AM539" s="4"/>
      <c r="AN539" s="4"/>
      <c r="AO539" s="4"/>
      <c r="AP539" s="4"/>
      <c r="AQ539" s="57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57"/>
      <c r="BC539" s="4"/>
      <c r="BD539" s="4"/>
      <c r="BE539" s="4"/>
      <c r="BF539" s="4"/>
      <c r="BG539" s="4"/>
      <c r="BH539" s="4"/>
      <c r="BI539" s="4"/>
    </row>
    <row r="540" spans="10:61" s="2" customFormat="1" x14ac:dyDescent="0.3">
      <c r="J540" s="57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57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57"/>
      <c r="AG540" s="4"/>
      <c r="AH540" s="4"/>
      <c r="AI540" s="4"/>
      <c r="AJ540" s="4"/>
      <c r="AK540" s="4"/>
      <c r="AL540" s="4"/>
      <c r="AM540" s="4"/>
      <c r="AN540" s="4"/>
      <c r="AO540" s="4"/>
      <c r="AP540" s="4"/>
      <c r="AQ540" s="57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57"/>
      <c r="BC540" s="4"/>
      <c r="BD540" s="4"/>
      <c r="BE540" s="4"/>
      <c r="BF540" s="4"/>
      <c r="BG540" s="4"/>
      <c r="BH540" s="4"/>
      <c r="BI540" s="4"/>
    </row>
    <row r="541" spans="10:61" s="2" customFormat="1" x14ac:dyDescent="0.3">
      <c r="J541" s="57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57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57"/>
      <c r="AG541" s="4"/>
      <c r="AH541" s="4"/>
      <c r="AI541" s="4"/>
      <c r="AJ541" s="4"/>
      <c r="AK541" s="4"/>
      <c r="AL541" s="4"/>
      <c r="AM541" s="4"/>
      <c r="AN541" s="4"/>
      <c r="AO541" s="4"/>
      <c r="AP541" s="4"/>
      <c r="AQ541" s="57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57"/>
      <c r="BC541" s="4"/>
      <c r="BD541" s="4"/>
      <c r="BE541" s="4"/>
      <c r="BF541" s="4"/>
      <c r="BG541" s="4"/>
      <c r="BH541" s="4"/>
      <c r="BI541" s="4"/>
    </row>
    <row r="542" spans="10:61" s="2" customFormat="1" x14ac:dyDescent="0.3">
      <c r="J542" s="57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57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57"/>
      <c r="AG542" s="4"/>
      <c r="AH542" s="4"/>
      <c r="AI542" s="4"/>
      <c r="AJ542" s="4"/>
      <c r="AK542" s="4"/>
      <c r="AL542" s="4"/>
      <c r="AM542" s="4"/>
      <c r="AN542" s="4"/>
      <c r="AO542" s="4"/>
      <c r="AP542" s="4"/>
      <c r="AQ542" s="57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57"/>
      <c r="BC542" s="4"/>
      <c r="BD542" s="4"/>
      <c r="BE542" s="4"/>
      <c r="BF542" s="4"/>
      <c r="BG542" s="4"/>
      <c r="BH542" s="4"/>
      <c r="BI542" s="4"/>
    </row>
    <row r="543" spans="10:61" s="2" customFormat="1" x14ac:dyDescent="0.3">
      <c r="J543" s="57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57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57"/>
      <c r="AG543" s="4"/>
      <c r="AH543" s="4"/>
      <c r="AI543" s="4"/>
      <c r="AJ543" s="4"/>
      <c r="AK543" s="4"/>
      <c r="AL543" s="4"/>
      <c r="AM543" s="4"/>
      <c r="AN543" s="4"/>
      <c r="AO543" s="4"/>
      <c r="AP543" s="4"/>
      <c r="AQ543" s="57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57"/>
      <c r="BC543" s="4"/>
      <c r="BD543" s="4"/>
      <c r="BE543" s="4"/>
      <c r="BF543" s="4"/>
      <c r="BG543" s="4"/>
      <c r="BH543" s="4"/>
      <c r="BI543" s="4"/>
    </row>
    <row r="544" spans="10:61" s="2" customFormat="1" x14ac:dyDescent="0.3">
      <c r="J544" s="57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57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57"/>
      <c r="AG544" s="4"/>
      <c r="AH544" s="4"/>
      <c r="AI544" s="4"/>
      <c r="AJ544" s="4"/>
      <c r="AK544" s="4"/>
      <c r="AL544" s="4"/>
      <c r="AM544" s="4"/>
      <c r="AN544" s="4"/>
      <c r="AO544" s="4"/>
      <c r="AP544" s="4"/>
      <c r="AQ544" s="57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57"/>
      <c r="BC544" s="4"/>
      <c r="BD544" s="4"/>
      <c r="BE544" s="4"/>
      <c r="BF544" s="4"/>
      <c r="BG544" s="4"/>
      <c r="BH544" s="4"/>
      <c r="BI544" s="4"/>
    </row>
    <row r="545" spans="10:61" s="2" customFormat="1" x14ac:dyDescent="0.3">
      <c r="J545" s="57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57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57"/>
      <c r="AG545" s="4"/>
      <c r="AH545" s="4"/>
      <c r="AI545" s="4"/>
      <c r="AJ545" s="4"/>
      <c r="AK545" s="4"/>
      <c r="AL545" s="4"/>
      <c r="AM545" s="4"/>
      <c r="AN545" s="4"/>
      <c r="AO545" s="4"/>
      <c r="AP545" s="4"/>
      <c r="AQ545" s="57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57"/>
      <c r="BC545" s="4"/>
      <c r="BD545" s="4"/>
      <c r="BE545" s="4"/>
      <c r="BF545" s="4"/>
      <c r="BG545" s="4"/>
      <c r="BH545" s="4"/>
      <c r="BI545" s="4"/>
    </row>
    <row r="546" spans="10:61" s="2" customFormat="1" x14ac:dyDescent="0.3">
      <c r="J546" s="57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57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57"/>
      <c r="AG546" s="4"/>
      <c r="AH546" s="4"/>
      <c r="AI546" s="4"/>
      <c r="AJ546" s="4"/>
      <c r="AK546" s="4"/>
      <c r="AL546" s="4"/>
      <c r="AM546" s="4"/>
      <c r="AN546" s="4"/>
      <c r="AO546" s="4"/>
      <c r="AP546" s="4"/>
      <c r="AQ546" s="57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57"/>
      <c r="BC546" s="4"/>
      <c r="BD546" s="4"/>
      <c r="BE546" s="4"/>
      <c r="BF546" s="4"/>
      <c r="BG546" s="4"/>
      <c r="BH546" s="4"/>
      <c r="BI546" s="4"/>
    </row>
    <row r="547" spans="10:61" s="2" customFormat="1" x14ac:dyDescent="0.3">
      <c r="J547" s="57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57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57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57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57"/>
      <c r="BC547" s="4"/>
      <c r="BD547" s="4"/>
      <c r="BE547" s="4"/>
      <c r="BF547" s="4"/>
      <c r="BG547" s="4"/>
      <c r="BH547" s="4"/>
      <c r="BI547" s="4"/>
    </row>
    <row r="548" spans="10:61" s="2" customFormat="1" x14ac:dyDescent="0.3">
      <c r="J548" s="57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57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57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57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57"/>
      <c r="BC548" s="4"/>
      <c r="BD548" s="4"/>
      <c r="BE548" s="4"/>
      <c r="BF548" s="4"/>
      <c r="BG548" s="4"/>
      <c r="BH548" s="4"/>
      <c r="BI548" s="4"/>
    </row>
    <row r="549" spans="10:61" s="2" customFormat="1" x14ac:dyDescent="0.3">
      <c r="J549" s="57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57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57"/>
      <c r="AG549" s="4"/>
      <c r="AH549" s="4"/>
      <c r="AI549" s="4"/>
      <c r="AJ549" s="4"/>
      <c r="AK549" s="4"/>
      <c r="AL549" s="4"/>
      <c r="AM549" s="4"/>
      <c r="AN549" s="4"/>
      <c r="AO549" s="4"/>
      <c r="AP549" s="4"/>
      <c r="AQ549" s="57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57"/>
      <c r="BC549" s="4"/>
      <c r="BD549" s="4"/>
      <c r="BE549" s="4"/>
      <c r="BF549" s="4"/>
      <c r="BG549" s="4"/>
      <c r="BH549" s="4"/>
      <c r="BI549" s="4"/>
    </row>
    <row r="550" spans="10:61" s="2" customFormat="1" x14ac:dyDescent="0.3">
      <c r="J550" s="57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5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57"/>
      <c r="AG550" s="4"/>
      <c r="AH550" s="4"/>
      <c r="AI550" s="4"/>
      <c r="AJ550" s="4"/>
      <c r="AK550" s="4"/>
      <c r="AL550" s="4"/>
      <c r="AM550" s="4"/>
      <c r="AN550" s="4"/>
      <c r="AO550" s="4"/>
      <c r="AP550" s="4"/>
      <c r="AQ550" s="57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57"/>
      <c r="BC550" s="4"/>
      <c r="BD550" s="4"/>
      <c r="BE550" s="4"/>
      <c r="BF550" s="4"/>
      <c r="BG550" s="4"/>
      <c r="BH550" s="4"/>
      <c r="BI550" s="4"/>
    </row>
    <row r="551" spans="10:61" s="2" customFormat="1" x14ac:dyDescent="0.3">
      <c r="J551" s="57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57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57"/>
      <c r="AG551" s="4"/>
      <c r="AH551" s="4"/>
      <c r="AI551" s="4"/>
      <c r="AJ551" s="4"/>
      <c r="AK551" s="4"/>
      <c r="AL551" s="4"/>
      <c r="AM551" s="4"/>
      <c r="AN551" s="4"/>
      <c r="AO551" s="4"/>
      <c r="AP551" s="4"/>
      <c r="AQ551" s="57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57"/>
      <c r="BC551" s="4"/>
      <c r="BD551" s="4"/>
      <c r="BE551" s="4"/>
      <c r="BF551" s="4"/>
      <c r="BG551" s="4"/>
      <c r="BH551" s="4"/>
      <c r="BI551" s="4"/>
    </row>
    <row r="552" spans="10:61" s="2" customFormat="1" x14ac:dyDescent="0.3">
      <c r="J552" s="57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57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57"/>
      <c r="AG552" s="4"/>
      <c r="AH552" s="4"/>
      <c r="AI552" s="4"/>
      <c r="AJ552" s="4"/>
      <c r="AK552" s="4"/>
      <c r="AL552" s="4"/>
      <c r="AM552" s="4"/>
      <c r="AN552" s="4"/>
      <c r="AO552" s="4"/>
      <c r="AP552" s="4"/>
      <c r="AQ552" s="57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57"/>
      <c r="BC552" s="4"/>
      <c r="BD552" s="4"/>
      <c r="BE552" s="4"/>
      <c r="BF552" s="4"/>
      <c r="BG552" s="4"/>
      <c r="BH552" s="4"/>
      <c r="BI552" s="4"/>
    </row>
    <row r="553" spans="10:61" s="2" customFormat="1" x14ac:dyDescent="0.3">
      <c r="J553" s="57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57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57"/>
      <c r="AG553" s="4"/>
      <c r="AH553" s="4"/>
      <c r="AI553" s="4"/>
      <c r="AJ553" s="4"/>
      <c r="AK553" s="4"/>
      <c r="AL553" s="4"/>
      <c r="AM553" s="4"/>
      <c r="AN553" s="4"/>
      <c r="AO553" s="4"/>
      <c r="AP553" s="4"/>
      <c r="AQ553" s="57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57"/>
      <c r="BC553" s="4"/>
      <c r="BD553" s="4"/>
      <c r="BE553" s="4"/>
      <c r="BF553" s="4"/>
      <c r="BG553" s="4"/>
      <c r="BH553" s="4"/>
      <c r="BI553" s="4"/>
    </row>
    <row r="554" spans="10:61" s="2" customFormat="1" x14ac:dyDescent="0.3">
      <c r="J554" s="57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57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57"/>
      <c r="AG554" s="4"/>
      <c r="AH554" s="4"/>
      <c r="AI554" s="4"/>
      <c r="AJ554" s="4"/>
      <c r="AK554" s="4"/>
      <c r="AL554" s="4"/>
      <c r="AM554" s="4"/>
      <c r="AN554" s="4"/>
      <c r="AO554" s="4"/>
      <c r="AP554" s="4"/>
      <c r="AQ554" s="57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57"/>
      <c r="BC554" s="4"/>
      <c r="BD554" s="4"/>
      <c r="BE554" s="4"/>
      <c r="BF554" s="4"/>
      <c r="BG554" s="4"/>
      <c r="BH554" s="4"/>
      <c r="BI554" s="4"/>
    </row>
    <row r="555" spans="10:61" s="2" customFormat="1" x14ac:dyDescent="0.3">
      <c r="J555" s="57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57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57"/>
      <c r="AG555" s="4"/>
      <c r="AH555" s="4"/>
      <c r="AI555" s="4"/>
      <c r="AJ555" s="4"/>
      <c r="AK555" s="4"/>
      <c r="AL555" s="4"/>
      <c r="AM555" s="4"/>
      <c r="AN555" s="4"/>
      <c r="AO555" s="4"/>
      <c r="AP555" s="4"/>
      <c r="AQ555" s="57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57"/>
      <c r="BC555" s="4"/>
      <c r="BD555" s="4"/>
      <c r="BE555" s="4"/>
      <c r="BF555" s="4"/>
      <c r="BG555" s="4"/>
      <c r="BH555" s="4"/>
      <c r="BI555" s="4"/>
    </row>
    <row r="556" spans="10:61" s="2" customFormat="1" x14ac:dyDescent="0.3">
      <c r="J556" s="57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57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57"/>
      <c r="AG556" s="4"/>
      <c r="AH556" s="4"/>
      <c r="AI556" s="4"/>
      <c r="AJ556" s="4"/>
      <c r="AK556" s="4"/>
      <c r="AL556" s="4"/>
      <c r="AM556" s="4"/>
      <c r="AN556" s="4"/>
      <c r="AO556" s="4"/>
      <c r="AP556" s="4"/>
      <c r="AQ556" s="57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57"/>
      <c r="BC556" s="4"/>
      <c r="BD556" s="4"/>
      <c r="BE556" s="4"/>
      <c r="BF556" s="4"/>
      <c r="BG556" s="4"/>
      <c r="BH556" s="4"/>
      <c r="BI556" s="4"/>
    </row>
    <row r="557" spans="10:61" s="2" customFormat="1" x14ac:dyDescent="0.3">
      <c r="J557" s="57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57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57"/>
      <c r="AG557" s="4"/>
      <c r="AH557" s="4"/>
      <c r="AI557" s="4"/>
      <c r="AJ557" s="4"/>
      <c r="AK557" s="4"/>
      <c r="AL557" s="4"/>
      <c r="AM557" s="4"/>
      <c r="AN557" s="4"/>
      <c r="AO557" s="4"/>
      <c r="AP557" s="4"/>
      <c r="AQ557" s="57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57"/>
      <c r="BC557" s="4"/>
      <c r="BD557" s="4"/>
      <c r="BE557" s="4"/>
      <c r="BF557" s="4"/>
      <c r="BG557" s="4"/>
      <c r="BH557" s="4"/>
      <c r="BI557" s="4"/>
    </row>
    <row r="558" spans="10:61" s="2" customFormat="1" x14ac:dyDescent="0.3">
      <c r="J558" s="57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57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57"/>
      <c r="AG558" s="4"/>
      <c r="AH558" s="4"/>
      <c r="AI558" s="4"/>
      <c r="AJ558" s="4"/>
      <c r="AK558" s="4"/>
      <c r="AL558" s="4"/>
      <c r="AM558" s="4"/>
      <c r="AN558" s="4"/>
      <c r="AO558" s="4"/>
      <c r="AP558" s="4"/>
      <c r="AQ558" s="57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57"/>
      <c r="BC558" s="4"/>
      <c r="BD558" s="4"/>
      <c r="BE558" s="4"/>
      <c r="BF558" s="4"/>
      <c r="BG558" s="4"/>
      <c r="BH558" s="4"/>
      <c r="BI558" s="4"/>
    </row>
    <row r="559" spans="10:61" s="2" customFormat="1" x14ac:dyDescent="0.3">
      <c r="J559" s="57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57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57"/>
      <c r="AG559" s="4"/>
      <c r="AH559" s="4"/>
      <c r="AI559" s="4"/>
      <c r="AJ559" s="4"/>
      <c r="AK559" s="4"/>
      <c r="AL559" s="4"/>
      <c r="AM559" s="4"/>
      <c r="AN559" s="4"/>
      <c r="AO559" s="4"/>
      <c r="AP559" s="4"/>
      <c r="AQ559" s="57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57"/>
      <c r="BC559" s="4"/>
      <c r="BD559" s="4"/>
      <c r="BE559" s="4"/>
      <c r="BF559" s="4"/>
      <c r="BG559" s="4"/>
      <c r="BH559" s="4"/>
      <c r="BI559" s="4"/>
    </row>
    <row r="560" spans="10:61" s="2" customFormat="1" x14ac:dyDescent="0.3">
      <c r="J560" s="57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57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57"/>
      <c r="AG560" s="4"/>
      <c r="AH560" s="4"/>
      <c r="AI560" s="4"/>
      <c r="AJ560" s="4"/>
      <c r="AK560" s="4"/>
      <c r="AL560" s="4"/>
      <c r="AM560" s="4"/>
      <c r="AN560" s="4"/>
      <c r="AO560" s="4"/>
      <c r="AP560" s="4"/>
      <c r="AQ560" s="57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57"/>
      <c r="BC560" s="4"/>
      <c r="BD560" s="4"/>
      <c r="BE560" s="4"/>
      <c r="BF560" s="4"/>
      <c r="BG560" s="4"/>
      <c r="BH560" s="4"/>
      <c r="BI560" s="4"/>
    </row>
    <row r="561" spans="10:61" s="2" customFormat="1" x14ac:dyDescent="0.3">
      <c r="J561" s="57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57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57"/>
      <c r="AG561" s="4"/>
      <c r="AH561" s="4"/>
      <c r="AI561" s="4"/>
      <c r="AJ561" s="4"/>
      <c r="AK561" s="4"/>
      <c r="AL561" s="4"/>
      <c r="AM561" s="4"/>
      <c r="AN561" s="4"/>
      <c r="AO561" s="4"/>
      <c r="AP561" s="4"/>
      <c r="AQ561" s="57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57"/>
      <c r="BC561" s="4"/>
      <c r="BD561" s="4"/>
      <c r="BE561" s="4"/>
      <c r="BF561" s="4"/>
      <c r="BG561" s="4"/>
      <c r="BH561" s="4"/>
      <c r="BI561" s="4"/>
    </row>
    <row r="562" spans="10:61" s="2" customFormat="1" x14ac:dyDescent="0.3">
      <c r="J562" s="57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57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57"/>
      <c r="AG562" s="4"/>
      <c r="AH562" s="4"/>
      <c r="AI562" s="4"/>
      <c r="AJ562" s="4"/>
      <c r="AK562" s="4"/>
      <c r="AL562" s="4"/>
      <c r="AM562" s="4"/>
      <c r="AN562" s="4"/>
      <c r="AO562" s="4"/>
      <c r="AP562" s="4"/>
      <c r="AQ562" s="57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57"/>
      <c r="BC562" s="4"/>
      <c r="BD562" s="4"/>
      <c r="BE562" s="4"/>
      <c r="BF562" s="4"/>
      <c r="BG562" s="4"/>
      <c r="BH562" s="4"/>
      <c r="BI562" s="4"/>
    </row>
    <row r="563" spans="10:61" s="2" customFormat="1" x14ac:dyDescent="0.3">
      <c r="J563" s="57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57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57"/>
      <c r="AG563" s="4"/>
      <c r="AH563" s="4"/>
      <c r="AI563" s="4"/>
      <c r="AJ563" s="4"/>
      <c r="AK563" s="4"/>
      <c r="AL563" s="4"/>
      <c r="AM563" s="4"/>
      <c r="AN563" s="4"/>
      <c r="AO563" s="4"/>
      <c r="AP563" s="4"/>
      <c r="AQ563" s="57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57"/>
      <c r="BC563" s="4"/>
      <c r="BD563" s="4"/>
      <c r="BE563" s="4"/>
      <c r="BF563" s="4"/>
      <c r="BG563" s="4"/>
      <c r="BH563" s="4"/>
      <c r="BI563" s="4"/>
    </row>
    <row r="564" spans="10:61" s="2" customFormat="1" x14ac:dyDescent="0.3">
      <c r="J564" s="57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57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57"/>
      <c r="AG564" s="4"/>
      <c r="AH564" s="4"/>
      <c r="AI564" s="4"/>
      <c r="AJ564" s="4"/>
      <c r="AK564" s="4"/>
      <c r="AL564" s="4"/>
      <c r="AM564" s="4"/>
      <c r="AN564" s="4"/>
      <c r="AO564" s="4"/>
      <c r="AP564" s="4"/>
      <c r="AQ564" s="57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57"/>
      <c r="BC564" s="4"/>
      <c r="BD564" s="4"/>
      <c r="BE564" s="4"/>
      <c r="BF564" s="4"/>
      <c r="BG564" s="4"/>
      <c r="BH564" s="4"/>
      <c r="BI564" s="4"/>
    </row>
    <row r="565" spans="10:61" s="2" customFormat="1" x14ac:dyDescent="0.3">
      <c r="J565" s="57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57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57"/>
      <c r="AG565" s="4"/>
      <c r="AH565" s="4"/>
      <c r="AI565" s="4"/>
      <c r="AJ565" s="4"/>
      <c r="AK565" s="4"/>
      <c r="AL565" s="4"/>
      <c r="AM565" s="4"/>
      <c r="AN565" s="4"/>
      <c r="AO565" s="4"/>
      <c r="AP565" s="4"/>
      <c r="AQ565" s="57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57"/>
      <c r="BC565" s="4"/>
      <c r="BD565" s="4"/>
      <c r="BE565" s="4"/>
      <c r="BF565" s="4"/>
      <c r="BG565" s="4"/>
      <c r="BH565" s="4"/>
      <c r="BI565" s="4"/>
    </row>
    <row r="566" spans="10:61" s="2" customFormat="1" x14ac:dyDescent="0.3">
      <c r="J566" s="57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57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57"/>
      <c r="AG566" s="4"/>
      <c r="AH566" s="4"/>
      <c r="AI566" s="4"/>
      <c r="AJ566" s="4"/>
      <c r="AK566" s="4"/>
      <c r="AL566" s="4"/>
      <c r="AM566" s="4"/>
      <c r="AN566" s="4"/>
      <c r="AO566" s="4"/>
      <c r="AP566" s="4"/>
      <c r="AQ566" s="57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57"/>
      <c r="BC566" s="4"/>
      <c r="BD566" s="4"/>
      <c r="BE566" s="4"/>
      <c r="BF566" s="4"/>
      <c r="BG566" s="4"/>
      <c r="BH566" s="4"/>
      <c r="BI566" s="4"/>
    </row>
    <row r="567" spans="10:61" s="2" customFormat="1" x14ac:dyDescent="0.3">
      <c r="J567" s="57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57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57"/>
      <c r="AG567" s="4"/>
      <c r="AH567" s="4"/>
      <c r="AI567" s="4"/>
      <c r="AJ567" s="4"/>
      <c r="AK567" s="4"/>
      <c r="AL567" s="4"/>
      <c r="AM567" s="4"/>
      <c r="AN567" s="4"/>
      <c r="AO567" s="4"/>
      <c r="AP567" s="4"/>
      <c r="AQ567" s="57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57"/>
      <c r="BC567" s="4"/>
      <c r="BD567" s="4"/>
      <c r="BE567" s="4"/>
      <c r="BF567" s="4"/>
      <c r="BG567" s="4"/>
      <c r="BH567" s="4"/>
      <c r="BI567" s="4"/>
    </row>
    <row r="568" spans="10:61" s="2" customFormat="1" x14ac:dyDescent="0.3">
      <c r="J568" s="57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57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57"/>
      <c r="AG568" s="4"/>
      <c r="AH568" s="4"/>
      <c r="AI568" s="4"/>
      <c r="AJ568" s="4"/>
      <c r="AK568" s="4"/>
      <c r="AL568" s="4"/>
      <c r="AM568" s="4"/>
      <c r="AN568" s="4"/>
      <c r="AO568" s="4"/>
      <c r="AP568" s="4"/>
      <c r="AQ568" s="57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57"/>
      <c r="BC568" s="4"/>
      <c r="BD568" s="4"/>
      <c r="BE568" s="4"/>
      <c r="BF568" s="4"/>
      <c r="BG568" s="4"/>
      <c r="BH568" s="4"/>
      <c r="BI568" s="4"/>
    </row>
    <row r="569" spans="10:61" s="2" customFormat="1" x14ac:dyDescent="0.3">
      <c r="J569" s="57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57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57"/>
      <c r="AG569" s="4"/>
      <c r="AH569" s="4"/>
      <c r="AI569" s="4"/>
      <c r="AJ569" s="4"/>
      <c r="AK569" s="4"/>
      <c r="AL569" s="4"/>
      <c r="AM569" s="4"/>
      <c r="AN569" s="4"/>
      <c r="AO569" s="4"/>
      <c r="AP569" s="4"/>
      <c r="AQ569" s="57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57"/>
      <c r="BC569" s="4"/>
      <c r="BD569" s="4"/>
      <c r="BE569" s="4"/>
      <c r="BF569" s="4"/>
      <c r="BG569" s="4"/>
      <c r="BH569" s="4"/>
      <c r="BI569" s="4"/>
    </row>
    <row r="570" spans="10:61" s="2" customFormat="1" x14ac:dyDescent="0.3">
      <c r="J570" s="57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57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57"/>
      <c r="AG570" s="4"/>
      <c r="AH570" s="4"/>
      <c r="AI570" s="4"/>
      <c r="AJ570" s="4"/>
      <c r="AK570" s="4"/>
      <c r="AL570" s="4"/>
      <c r="AM570" s="4"/>
      <c r="AN570" s="4"/>
      <c r="AO570" s="4"/>
      <c r="AP570" s="4"/>
      <c r="AQ570" s="57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57"/>
      <c r="BC570" s="4"/>
      <c r="BD570" s="4"/>
      <c r="BE570" s="4"/>
      <c r="BF570" s="4"/>
      <c r="BG570" s="4"/>
      <c r="BH570" s="4"/>
      <c r="BI570" s="4"/>
    </row>
    <row r="571" spans="10:61" s="2" customFormat="1" x14ac:dyDescent="0.3">
      <c r="J571" s="57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57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57"/>
      <c r="AG571" s="4"/>
      <c r="AH571" s="4"/>
      <c r="AI571" s="4"/>
      <c r="AJ571" s="4"/>
      <c r="AK571" s="4"/>
      <c r="AL571" s="4"/>
      <c r="AM571" s="4"/>
      <c r="AN571" s="4"/>
      <c r="AO571" s="4"/>
      <c r="AP571" s="4"/>
      <c r="AQ571" s="57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57"/>
      <c r="BC571" s="4"/>
      <c r="BD571" s="4"/>
      <c r="BE571" s="4"/>
      <c r="BF571" s="4"/>
      <c r="BG571" s="4"/>
      <c r="BH571" s="4"/>
      <c r="BI571" s="4"/>
    </row>
    <row r="572" spans="10:61" s="2" customFormat="1" x14ac:dyDescent="0.3">
      <c r="J572" s="57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57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57"/>
      <c r="AG572" s="4"/>
      <c r="AH572" s="4"/>
      <c r="AI572" s="4"/>
      <c r="AJ572" s="4"/>
      <c r="AK572" s="4"/>
      <c r="AL572" s="4"/>
      <c r="AM572" s="4"/>
      <c r="AN572" s="4"/>
      <c r="AO572" s="4"/>
      <c r="AP572" s="4"/>
      <c r="AQ572" s="57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57"/>
      <c r="BC572" s="4"/>
      <c r="BD572" s="4"/>
      <c r="BE572" s="4"/>
      <c r="BF572" s="4"/>
      <c r="BG572" s="4"/>
      <c r="BH572" s="4"/>
      <c r="BI572" s="4"/>
    </row>
    <row r="573" spans="10:61" s="2" customFormat="1" x14ac:dyDescent="0.3">
      <c r="J573" s="57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57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57"/>
      <c r="AG573" s="4"/>
      <c r="AH573" s="4"/>
      <c r="AI573" s="4"/>
      <c r="AJ573" s="4"/>
      <c r="AK573" s="4"/>
      <c r="AL573" s="4"/>
      <c r="AM573" s="4"/>
      <c r="AN573" s="4"/>
      <c r="AO573" s="4"/>
      <c r="AP573" s="4"/>
      <c r="AQ573" s="57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57"/>
      <c r="BC573" s="4"/>
      <c r="BD573" s="4"/>
      <c r="BE573" s="4"/>
      <c r="BF573" s="4"/>
      <c r="BG573" s="4"/>
      <c r="BH573" s="4"/>
      <c r="BI573" s="4"/>
    </row>
    <row r="574" spans="10:61" s="2" customFormat="1" x14ac:dyDescent="0.3">
      <c r="J574" s="57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57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57"/>
      <c r="AG574" s="4"/>
      <c r="AH574" s="4"/>
      <c r="AI574" s="4"/>
      <c r="AJ574" s="4"/>
      <c r="AK574" s="4"/>
      <c r="AL574" s="4"/>
      <c r="AM574" s="4"/>
      <c r="AN574" s="4"/>
      <c r="AO574" s="4"/>
      <c r="AP574" s="4"/>
      <c r="AQ574" s="57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57"/>
      <c r="BC574" s="4"/>
      <c r="BD574" s="4"/>
      <c r="BE574" s="4"/>
      <c r="BF574" s="4"/>
      <c r="BG574" s="4"/>
      <c r="BH574" s="4"/>
      <c r="BI574" s="4"/>
    </row>
    <row r="575" spans="10:61" s="2" customFormat="1" x14ac:dyDescent="0.3">
      <c r="J575" s="57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57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57"/>
      <c r="AG575" s="4"/>
      <c r="AH575" s="4"/>
      <c r="AI575" s="4"/>
      <c r="AJ575" s="4"/>
      <c r="AK575" s="4"/>
      <c r="AL575" s="4"/>
      <c r="AM575" s="4"/>
      <c r="AN575" s="4"/>
      <c r="AO575" s="4"/>
      <c r="AP575" s="4"/>
      <c r="AQ575" s="57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57"/>
      <c r="BC575" s="4"/>
      <c r="BD575" s="4"/>
      <c r="BE575" s="4"/>
      <c r="BF575" s="4"/>
      <c r="BG575" s="4"/>
      <c r="BH575" s="4"/>
      <c r="BI575" s="4"/>
    </row>
    <row r="576" spans="10:61" s="2" customFormat="1" x14ac:dyDescent="0.3">
      <c r="J576" s="57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57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57"/>
      <c r="AG576" s="4"/>
      <c r="AH576" s="4"/>
      <c r="AI576" s="4"/>
      <c r="AJ576" s="4"/>
      <c r="AK576" s="4"/>
      <c r="AL576" s="4"/>
      <c r="AM576" s="4"/>
      <c r="AN576" s="4"/>
      <c r="AO576" s="4"/>
      <c r="AP576" s="4"/>
      <c r="AQ576" s="57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57"/>
      <c r="BC576" s="4"/>
      <c r="BD576" s="4"/>
      <c r="BE576" s="4"/>
      <c r="BF576" s="4"/>
      <c r="BG576" s="4"/>
      <c r="BH576" s="4"/>
      <c r="BI576" s="4"/>
    </row>
    <row r="577" spans="10:61" s="2" customFormat="1" x14ac:dyDescent="0.3">
      <c r="J577" s="57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57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57"/>
      <c r="AG577" s="4"/>
      <c r="AH577" s="4"/>
      <c r="AI577" s="4"/>
      <c r="AJ577" s="4"/>
      <c r="AK577" s="4"/>
      <c r="AL577" s="4"/>
      <c r="AM577" s="4"/>
      <c r="AN577" s="4"/>
      <c r="AO577" s="4"/>
      <c r="AP577" s="4"/>
      <c r="AQ577" s="57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57"/>
      <c r="BC577" s="4"/>
      <c r="BD577" s="4"/>
      <c r="BE577" s="4"/>
      <c r="BF577" s="4"/>
      <c r="BG577" s="4"/>
      <c r="BH577" s="4"/>
      <c r="BI577" s="4"/>
    </row>
    <row r="578" spans="10:61" s="2" customFormat="1" x14ac:dyDescent="0.3">
      <c r="J578" s="57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57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57"/>
      <c r="AG578" s="4"/>
      <c r="AH578" s="4"/>
      <c r="AI578" s="4"/>
      <c r="AJ578" s="4"/>
      <c r="AK578" s="4"/>
      <c r="AL578" s="4"/>
      <c r="AM578" s="4"/>
      <c r="AN578" s="4"/>
      <c r="AO578" s="4"/>
      <c r="AP578" s="4"/>
      <c r="AQ578" s="57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57"/>
      <c r="BC578" s="4"/>
      <c r="BD578" s="4"/>
      <c r="BE578" s="4"/>
      <c r="BF578" s="4"/>
      <c r="BG578" s="4"/>
      <c r="BH578" s="4"/>
      <c r="BI578" s="4"/>
    </row>
    <row r="579" spans="10:61" s="2" customFormat="1" x14ac:dyDescent="0.3">
      <c r="J579" s="57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57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57"/>
      <c r="AG579" s="4"/>
      <c r="AH579" s="4"/>
      <c r="AI579" s="4"/>
      <c r="AJ579" s="4"/>
      <c r="AK579" s="4"/>
      <c r="AL579" s="4"/>
      <c r="AM579" s="4"/>
      <c r="AN579" s="4"/>
      <c r="AO579" s="4"/>
      <c r="AP579" s="4"/>
      <c r="AQ579" s="57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57"/>
      <c r="BC579" s="4"/>
      <c r="BD579" s="4"/>
      <c r="BE579" s="4"/>
      <c r="BF579" s="4"/>
      <c r="BG579" s="4"/>
      <c r="BH579" s="4"/>
      <c r="BI579" s="4"/>
    </row>
    <row r="580" spans="10:61" s="2" customFormat="1" x14ac:dyDescent="0.3">
      <c r="J580" s="57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57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57"/>
      <c r="AG580" s="4"/>
      <c r="AH580" s="4"/>
      <c r="AI580" s="4"/>
      <c r="AJ580" s="4"/>
      <c r="AK580" s="4"/>
      <c r="AL580" s="4"/>
      <c r="AM580" s="4"/>
      <c r="AN580" s="4"/>
      <c r="AO580" s="4"/>
      <c r="AP580" s="4"/>
      <c r="AQ580" s="57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57"/>
      <c r="BC580" s="4"/>
      <c r="BD580" s="4"/>
      <c r="BE580" s="4"/>
      <c r="BF580" s="4"/>
      <c r="BG580" s="4"/>
      <c r="BH580" s="4"/>
      <c r="BI580" s="4"/>
    </row>
    <row r="581" spans="10:61" s="2" customFormat="1" x14ac:dyDescent="0.3">
      <c r="J581" s="57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57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57"/>
      <c r="AG581" s="4"/>
      <c r="AH581" s="4"/>
      <c r="AI581" s="4"/>
      <c r="AJ581" s="4"/>
      <c r="AK581" s="4"/>
      <c r="AL581" s="4"/>
      <c r="AM581" s="4"/>
      <c r="AN581" s="4"/>
      <c r="AO581" s="4"/>
      <c r="AP581" s="4"/>
      <c r="AQ581" s="57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57"/>
      <c r="BC581" s="4"/>
      <c r="BD581" s="4"/>
      <c r="BE581" s="4"/>
      <c r="BF581" s="4"/>
      <c r="BG581" s="4"/>
      <c r="BH581" s="4"/>
      <c r="BI581" s="4"/>
    </row>
    <row r="582" spans="10:61" s="2" customFormat="1" x14ac:dyDescent="0.3">
      <c r="J582" s="57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57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57"/>
      <c r="AG582" s="4"/>
      <c r="AH582" s="4"/>
      <c r="AI582" s="4"/>
      <c r="AJ582" s="4"/>
      <c r="AK582" s="4"/>
      <c r="AL582" s="4"/>
      <c r="AM582" s="4"/>
      <c r="AN582" s="4"/>
      <c r="AO582" s="4"/>
      <c r="AP582" s="4"/>
      <c r="AQ582" s="57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57"/>
      <c r="BC582" s="4"/>
      <c r="BD582" s="4"/>
      <c r="BE582" s="4"/>
      <c r="BF582" s="4"/>
      <c r="BG582" s="4"/>
      <c r="BH582" s="4"/>
      <c r="BI582" s="4"/>
    </row>
    <row r="583" spans="10:61" s="2" customFormat="1" x14ac:dyDescent="0.3">
      <c r="J583" s="57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57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57"/>
      <c r="AG583" s="4"/>
      <c r="AH583" s="4"/>
      <c r="AI583" s="4"/>
      <c r="AJ583" s="4"/>
      <c r="AK583" s="4"/>
      <c r="AL583" s="4"/>
      <c r="AM583" s="4"/>
      <c r="AN583" s="4"/>
      <c r="AO583" s="4"/>
      <c r="AP583" s="4"/>
      <c r="AQ583" s="57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57"/>
      <c r="BC583" s="4"/>
      <c r="BD583" s="4"/>
      <c r="BE583" s="4"/>
      <c r="BF583" s="4"/>
      <c r="BG583" s="4"/>
      <c r="BH583" s="4"/>
      <c r="BI583" s="4"/>
    </row>
    <row r="584" spans="10:61" s="2" customFormat="1" x14ac:dyDescent="0.3">
      <c r="J584" s="57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57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57"/>
      <c r="AG584" s="4"/>
      <c r="AH584" s="4"/>
      <c r="AI584" s="4"/>
      <c r="AJ584" s="4"/>
      <c r="AK584" s="4"/>
      <c r="AL584" s="4"/>
      <c r="AM584" s="4"/>
      <c r="AN584" s="4"/>
      <c r="AO584" s="4"/>
      <c r="AP584" s="4"/>
      <c r="AQ584" s="57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57"/>
      <c r="BC584" s="4"/>
      <c r="BD584" s="4"/>
      <c r="BE584" s="4"/>
      <c r="BF584" s="4"/>
      <c r="BG584" s="4"/>
      <c r="BH584" s="4"/>
      <c r="BI584" s="4"/>
    </row>
    <row r="585" spans="10:61" s="2" customFormat="1" x14ac:dyDescent="0.3">
      <c r="J585" s="57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57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57"/>
      <c r="AG585" s="4"/>
      <c r="AH585" s="4"/>
      <c r="AI585" s="4"/>
      <c r="AJ585" s="4"/>
      <c r="AK585" s="4"/>
      <c r="AL585" s="4"/>
      <c r="AM585" s="4"/>
      <c r="AN585" s="4"/>
      <c r="AO585" s="4"/>
      <c r="AP585" s="4"/>
      <c r="AQ585" s="57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57"/>
      <c r="BC585" s="4"/>
      <c r="BD585" s="4"/>
      <c r="BE585" s="4"/>
      <c r="BF585" s="4"/>
      <c r="BG585" s="4"/>
      <c r="BH585" s="4"/>
      <c r="BI585" s="4"/>
    </row>
    <row r="586" spans="10:61" s="2" customFormat="1" x14ac:dyDescent="0.3">
      <c r="J586" s="57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57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57"/>
      <c r="AG586" s="4"/>
      <c r="AH586" s="4"/>
      <c r="AI586" s="4"/>
      <c r="AJ586" s="4"/>
      <c r="AK586" s="4"/>
      <c r="AL586" s="4"/>
      <c r="AM586" s="4"/>
      <c r="AN586" s="4"/>
      <c r="AO586" s="4"/>
      <c r="AP586" s="4"/>
      <c r="AQ586" s="57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57"/>
      <c r="BC586" s="4"/>
      <c r="BD586" s="4"/>
      <c r="BE586" s="4"/>
      <c r="BF586" s="4"/>
      <c r="BG586" s="4"/>
      <c r="BH586" s="4"/>
      <c r="BI586" s="4"/>
    </row>
    <row r="587" spans="10:61" s="2" customFormat="1" x14ac:dyDescent="0.3">
      <c r="J587" s="57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57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57"/>
      <c r="AG587" s="4"/>
      <c r="AH587" s="4"/>
      <c r="AI587" s="4"/>
      <c r="AJ587" s="4"/>
      <c r="AK587" s="4"/>
      <c r="AL587" s="4"/>
      <c r="AM587" s="4"/>
      <c r="AN587" s="4"/>
      <c r="AO587" s="4"/>
      <c r="AP587" s="4"/>
      <c r="AQ587" s="57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57"/>
      <c r="BC587" s="4"/>
      <c r="BD587" s="4"/>
      <c r="BE587" s="4"/>
      <c r="BF587" s="4"/>
      <c r="BG587" s="4"/>
      <c r="BH587" s="4"/>
      <c r="BI587" s="4"/>
    </row>
    <row r="588" spans="10:61" s="2" customFormat="1" x14ac:dyDescent="0.3">
      <c r="J588" s="57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57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57"/>
      <c r="AG588" s="4"/>
      <c r="AH588" s="4"/>
      <c r="AI588" s="4"/>
      <c r="AJ588" s="4"/>
      <c r="AK588" s="4"/>
      <c r="AL588" s="4"/>
      <c r="AM588" s="4"/>
      <c r="AN588" s="4"/>
      <c r="AO588" s="4"/>
      <c r="AP588" s="4"/>
      <c r="AQ588" s="57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57"/>
      <c r="BC588" s="4"/>
      <c r="BD588" s="4"/>
      <c r="BE588" s="4"/>
      <c r="BF588" s="4"/>
      <c r="BG588" s="4"/>
      <c r="BH588" s="4"/>
      <c r="BI588" s="4"/>
    </row>
    <row r="589" spans="10:61" s="2" customFormat="1" x14ac:dyDescent="0.3">
      <c r="J589" s="57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57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57"/>
      <c r="AG589" s="4"/>
      <c r="AH589" s="4"/>
      <c r="AI589" s="4"/>
      <c r="AJ589" s="4"/>
      <c r="AK589" s="4"/>
      <c r="AL589" s="4"/>
      <c r="AM589" s="4"/>
      <c r="AN589" s="4"/>
      <c r="AO589" s="4"/>
      <c r="AP589" s="4"/>
      <c r="AQ589" s="57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57"/>
      <c r="BC589" s="4"/>
      <c r="BD589" s="4"/>
      <c r="BE589" s="4"/>
      <c r="BF589" s="4"/>
      <c r="BG589" s="4"/>
      <c r="BH589" s="4"/>
      <c r="BI589" s="4"/>
    </row>
    <row r="590" spans="10:61" s="2" customFormat="1" x14ac:dyDescent="0.3">
      <c r="J590" s="57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57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57"/>
      <c r="AG590" s="4"/>
      <c r="AH590" s="4"/>
      <c r="AI590" s="4"/>
      <c r="AJ590" s="4"/>
      <c r="AK590" s="4"/>
      <c r="AL590" s="4"/>
      <c r="AM590" s="4"/>
      <c r="AN590" s="4"/>
      <c r="AO590" s="4"/>
      <c r="AP590" s="4"/>
      <c r="AQ590" s="57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57"/>
      <c r="BC590" s="4"/>
      <c r="BD590" s="4"/>
      <c r="BE590" s="4"/>
      <c r="BF590" s="4"/>
      <c r="BG590" s="4"/>
      <c r="BH590" s="4"/>
      <c r="BI590" s="4"/>
    </row>
    <row r="591" spans="10:61" s="2" customFormat="1" x14ac:dyDescent="0.3">
      <c r="J591" s="57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57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57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57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57"/>
      <c r="BC591" s="4"/>
      <c r="BD591" s="4"/>
      <c r="BE591" s="4"/>
      <c r="BF591" s="4"/>
      <c r="BG591" s="4"/>
      <c r="BH591" s="4"/>
      <c r="BI591" s="4"/>
    </row>
    <row r="592" spans="10:61" s="2" customFormat="1" x14ac:dyDescent="0.3">
      <c r="J592" s="57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57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57"/>
      <c r="AG592" s="4"/>
      <c r="AH592" s="4"/>
      <c r="AI592" s="4"/>
      <c r="AJ592" s="4"/>
      <c r="AK592" s="4"/>
      <c r="AL592" s="4"/>
      <c r="AM592" s="4"/>
      <c r="AN592" s="4"/>
      <c r="AO592" s="4"/>
      <c r="AP592" s="4"/>
      <c r="AQ592" s="57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57"/>
      <c r="BC592" s="4"/>
      <c r="BD592" s="4"/>
      <c r="BE592" s="4"/>
      <c r="BF592" s="4"/>
      <c r="BG592" s="4"/>
      <c r="BH592" s="4"/>
      <c r="BI592" s="4"/>
    </row>
    <row r="593" spans="9:61" s="2" customFormat="1" x14ac:dyDescent="0.3">
      <c r="J593" s="57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57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57"/>
      <c r="AG593" s="4"/>
      <c r="AH593" s="4"/>
      <c r="AI593" s="4"/>
      <c r="AJ593" s="4"/>
      <c r="AK593" s="4"/>
      <c r="AL593" s="4"/>
      <c r="AM593" s="4"/>
      <c r="AN593" s="4"/>
      <c r="AO593" s="4"/>
      <c r="AP593" s="4"/>
      <c r="AQ593" s="57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57"/>
      <c r="BC593" s="4"/>
      <c r="BD593" s="4"/>
      <c r="BE593" s="4"/>
      <c r="BF593" s="4"/>
      <c r="BG593" s="4"/>
      <c r="BH593" s="4"/>
      <c r="BI593" s="4"/>
    </row>
    <row r="594" spans="9:61" s="2" customFormat="1" x14ac:dyDescent="0.3">
      <c r="J594" s="57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57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57"/>
      <c r="AG594" s="4"/>
      <c r="AH594" s="4"/>
      <c r="AI594" s="4"/>
      <c r="AJ594" s="4"/>
      <c r="AK594" s="4"/>
      <c r="AL594" s="4"/>
      <c r="AM594" s="4"/>
      <c r="AN594" s="4"/>
      <c r="AO594" s="4"/>
      <c r="AP594" s="4"/>
      <c r="AQ594" s="57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57"/>
      <c r="BC594" s="4"/>
      <c r="BD594" s="4"/>
      <c r="BE594" s="4"/>
      <c r="BF594" s="4"/>
      <c r="BG594" s="4"/>
      <c r="BH594" s="4"/>
      <c r="BI594" s="4"/>
    </row>
    <row r="595" spans="9:61" s="2" customFormat="1" x14ac:dyDescent="0.3">
      <c r="J595" s="57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57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57"/>
      <c r="AG595" s="4"/>
      <c r="AH595" s="4"/>
      <c r="AI595" s="4"/>
      <c r="AJ595" s="4"/>
      <c r="AK595" s="4"/>
      <c r="AL595" s="4"/>
      <c r="AM595" s="4"/>
      <c r="AN595" s="4"/>
      <c r="AO595" s="4"/>
      <c r="AP595" s="4"/>
      <c r="AQ595" s="57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57"/>
      <c r="BC595" s="4"/>
      <c r="BD595" s="4"/>
      <c r="BE595" s="4"/>
      <c r="BF595" s="4"/>
      <c r="BG595" s="4"/>
      <c r="BH595" s="4"/>
      <c r="BI595" s="4"/>
    </row>
    <row r="596" spans="9:61" s="2" customFormat="1" x14ac:dyDescent="0.3">
      <c r="J596" s="57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57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57"/>
      <c r="AG596" s="4"/>
      <c r="AH596" s="4"/>
      <c r="AI596" s="4"/>
      <c r="AJ596" s="4"/>
      <c r="AK596" s="4"/>
      <c r="AL596" s="4"/>
      <c r="AM596" s="4"/>
      <c r="AN596" s="4"/>
      <c r="AO596" s="4"/>
      <c r="AP596" s="4"/>
      <c r="AQ596" s="57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57"/>
      <c r="BC596" s="4"/>
      <c r="BD596" s="4"/>
      <c r="BE596" s="4"/>
      <c r="BF596" s="4"/>
      <c r="BG596" s="4"/>
      <c r="BH596" s="4"/>
      <c r="BI596" s="4"/>
    </row>
    <row r="597" spans="9:61" s="2" customFormat="1" x14ac:dyDescent="0.3">
      <c r="J597" s="57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57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57"/>
      <c r="AG597" s="4"/>
      <c r="AH597" s="4"/>
      <c r="AI597" s="4"/>
      <c r="AJ597" s="4"/>
      <c r="AK597" s="4"/>
      <c r="AL597" s="4"/>
      <c r="AM597" s="4"/>
      <c r="AN597" s="4"/>
      <c r="AO597" s="4"/>
      <c r="AP597" s="4"/>
      <c r="AQ597" s="57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57"/>
      <c r="BC597" s="4"/>
      <c r="BD597" s="4"/>
      <c r="BE597" s="4"/>
      <c r="BF597" s="4"/>
      <c r="BG597" s="4"/>
      <c r="BH597" s="4"/>
      <c r="BI597" s="4"/>
    </row>
    <row r="598" spans="9:61" s="2" customFormat="1" x14ac:dyDescent="0.3">
      <c r="J598" s="57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57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57"/>
      <c r="AG598" s="4"/>
      <c r="AH598" s="4"/>
      <c r="AI598" s="4"/>
      <c r="AJ598" s="4"/>
      <c r="AK598" s="4"/>
      <c r="AL598" s="4"/>
      <c r="AM598" s="4"/>
      <c r="AN598" s="4"/>
      <c r="AO598" s="4"/>
      <c r="AP598" s="4"/>
      <c r="AQ598" s="57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57"/>
      <c r="BC598" s="4"/>
      <c r="BD598" s="4"/>
      <c r="BE598" s="4"/>
      <c r="BF598" s="4"/>
      <c r="BG598" s="4"/>
      <c r="BH598" s="4"/>
      <c r="BI598" s="4"/>
    </row>
    <row r="599" spans="9:61" s="2" customFormat="1" x14ac:dyDescent="0.3">
      <c r="J599" s="57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57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57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57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57"/>
      <c r="BC599" s="4"/>
      <c r="BD599" s="4"/>
      <c r="BE599" s="4"/>
      <c r="BF599" s="4"/>
      <c r="BG599" s="4"/>
      <c r="BH599" s="4"/>
      <c r="BI599" s="4"/>
    </row>
    <row r="600" spans="9:61" s="2" customFormat="1" x14ac:dyDescent="0.3">
      <c r="J600" s="57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57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57"/>
      <c r="AG600" s="4"/>
      <c r="AH600" s="4"/>
      <c r="AI600" s="4"/>
      <c r="AJ600" s="4"/>
      <c r="AK600" s="4"/>
      <c r="AL600" s="4"/>
      <c r="AM600" s="4"/>
      <c r="AN600" s="4"/>
      <c r="AO600" s="4"/>
      <c r="AP600" s="4"/>
      <c r="AQ600" s="57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57"/>
      <c r="BC600" s="4"/>
      <c r="BD600" s="4"/>
      <c r="BE600" s="4"/>
      <c r="BF600" s="4"/>
      <c r="BG600" s="4"/>
      <c r="BH600" s="4"/>
      <c r="BI600" s="4"/>
    </row>
    <row r="601" spans="9:61" s="2" customFormat="1" x14ac:dyDescent="0.3">
      <c r="J601" s="57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57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57"/>
      <c r="AG601" s="4"/>
      <c r="AH601" s="4"/>
      <c r="AI601" s="4"/>
      <c r="AJ601" s="4"/>
      <c r="AK601" s="4"/>
      <c r="AL601" s="4"/>
      <c r="AM601" s="4"/>
      <c r="AN601" s="4"/>
      <c r="AO601" s="4"/>
      <c r="AP601" s="4"/>
      <c r="AQ601" s="57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57"/>
      <c r="BC601" s="4"/>
      <c r="BD601" s="4"/>
      <c r="BE601" s="4"/>
      <c r="BF601" s="4"/>
      <c r="BG601" s="4"/>
      <c r="BH601" s="4"/>
      <c r="BI601" s="4"/>
    </row>
    <row r="602" spans="9:61" s="2" customFormat="1" x14ac:dyDescent="0.3">
      <c r="J602" s="57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57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57"/>
      <c r="AG602" s="4"/>
      <c r="AH602" s="4"/>
      <c r="AI602" s="4"/>
      <c r="AJ602" s="4"/>
      <c r="AK602" s="4"/>
      <c r="AL602" s="4"/>
      <c r="AM602" s="4"/>
      <c r="AN602" s="4"/>
      <c r="AO602" s="4"/>
      <c r="AP602" s="4"/>
      <c r="AQ602" s="57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57"/>
      <c r="BC602" s="4"/>
      <c r="BD602" s="4"/>
      <c r="BE602" s="4"/>
      <c r="BF602" s="4"/>
      <c r="BG602" s="4"/>
      <c r="BH602" s="4"/>
      <c r="BI602" s="4"/>
    </row>
    <row r="603" spans="9:61" s="2" customFormat="1" x14ac:dyDescent="0.3">
      <c r="I603" s="3"/>
      <c r="J603" s="57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57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57"/>
      <c r="AG603" s="4"/>
      <c r="AH603" s="4"/>
      <c r="AI603" s="4"/>
      <c r="AJ603" s="4"/>
      <c r="AK603" s="4"/>
      <c r="AL603" s="4"/>
      <c r="AM603" s="4"/>
      <c r="AN603" s="4"/>
      <c r="AO603" s="4"/>
      <c r="AP603" s="4"/>
      <c r="AQ603" s="57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57"/>
      <c r="BC603" s="4"/>
      <c r="BD603" s="4"/>
      <c r="BE603" s="4"/>
      <c r="BF603" s="4"/>
      <c r="BG603" s="4"/>
      <c r="BH603" s="4"/>
      <c r="BI603" s="4"/>
    </row>
    <row r="604" spans="9:61" s="2" customFormat="1" x14ac:dyDescent="0.3">
      <c r="I604" s="3"/>
      <c r="J604" s="57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57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57"/>
      <c r="AG604" s="4"/>
      <c r="AH604" s="4"/>
      <c r="AI604" s="4"/>
      <c r="AJ604" s="4"/>
      <c r="AK604" s="4"/>
      <c r="AL604" s="4"/>
      <c r="AM604" s="4"/>
      <c r="AN604" s="4"/>
      <c r="AO604" s="4"/>
      <c r="AP604" s="4"/>
      <c r="AQ604" s="57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57"/>
      <c r="BC604" s="4"/>
      <c r="BD604" s="4"/>
      <c r="BE604" s="4"/>
      <c r="BF604" s="4"/>
      <c r="BG604" s="4"/>
      <c r="BH604" s="4"/>
      <c r="BI604" s="4"/>
    </row>
    <row r="605" spans="9:61" s="2" customFormat="1" x14ac:dyDescent="0.3">
      <c r="I605" s="3"/>
      <c r="J605" s="57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57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57"/>
      <c r="AG605" s="4"/>
      <c r="AH605" s="4"/>
      <c r="AI605" s="4"/>
      <c r="AJ605" s="4"/>
      <c r="AK605" s="4"/>
      <c r="AL605" s="4"/>
      <c r="AM605" s="4"/>
      <c r="AN605" s="4"/>
      <c r="AO605" s="4"/>
      <c r="AP605" s="4"/>
      <c r="AQ605" s="57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57"/>
      <c r="BC605" s="4"/>
      <c r="BD605" s="4"/>
      <c r="BE605" s="4"/>
      <c r="BF605" s="4"/>
      <c r="BG605" s="4"/>
      <c r="BH605" s="4"/>
      <c r="BI605" s="4"/>
    </row>
    <row r="606" spans="9:61" s="2" customFormat="1" x14ac:dyDescent="0.3">
      <c r="I606" s="3"/>
      <c r="J606" s="57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57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57"/>
      <c r="AG606" s="4"/>
      <c r="AH606" s="4"/>
      <c r="AI606" s="4"/>
      <c r="AJ606" s="4"/>
      <c r="AK606" s="4"/>
      <c r="AL606" s="4"/>
      <c r="AM606" s="4"/>
      <c r="AN606" s="4"/>
      <c r="AO606" s="4"/>
      <c r="AP606" s="4"/>
      <c r="AQ606" s="57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57"/>
      <c r="BC606" s="4"/>
      <c r="BD606" s="4"/>
      <c r="BE606" s="4"/>
      <c r="BF606" s="4"/>
      <c r="BG606" s="4"/>
      <c r="BH606" s="4"/>
      <c r="BI606" s="4"/>
    </row>
    <row r="607" spans="9:61" s="2" customFormat="1" x14ac:dyDescent="0.3">
      <c r="I607" s="3"/>
      <c r="J607" s="57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57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57"/>
      <c r="AG607" s="4"/>
      <c r="AH607" s="4"/>
      <c r="AI607" s="4"/>
      <c r="AJ607" s="4"/>
      <c r="AK607" s="4"/>
      <c r="AL607" s="4"/>
      <c r="AM607" s="4"/>
      <c r="AN607" s="4"/>
      <c r="AO607" s="4"/>
      <c r="AP607" s="4"/>
      <c r="AQ607" s="57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57"/>
      <c r="BC607" s="4"/>
      <c r="BD607" s="4"/>
      <c r="BE607" s="4"/>
      <c r="BF607" s="4"/>
      <c r="BG607" s="4"/>
      <c r="BH607" s="4"/>
      <c r="BI607" s="4"/>
    </row>
    <row r="608" spans="9:61" s="2" customFormat="1" x14ac:dyDescent="0.3">
      <c r="I608" s="3"/>
      <c r="J608" s="57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57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57"/>
      <c r="AG608" s="4"/>
      <c r="AH608" s="4"/>
      <c r="AI608" s="4"/>
      <c r="AJ608" s="4"/>
      <c r="AK608" s="4"/>
      <c r="AL608" s="4"/>
      <c r="AM608" s="4"/>
      <c r="AN608" s="4"/>
      <c r="AO608" s="4"/>
      <c r="AP608" s="4"/>
      <c r="AQ608" s="57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57"/>
      <c r="BC608" s="4"/>
      <c r="BD608" s="4"/>
      <c r="BE608" s="4"/>
      <c r="BF608" s="4"/>
      <c r="BG608" s="4"/>
      <c r="BH608" s="4"/>
      <c r="BI608" s="4"/>
    </row>
    <row r="609" spans="9:61" s="2" customFormat="1" x14ac:dyDescent="0.3">
      <c r="I609" s="3"/>
      <c r="J609" s="57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57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57"/>
      <c r="AG609" s="4"/>
      <c r="AH609" s="4"/>
      <c r="AI609" s="4"/>
      <c r="AJ609" s="4"/>
      <c r="AK609" s="4"/>
      <c r="AL609" s="4"/>
      <c r="AM609" s="4"/>
      <c r="AN609" s="4"/>
      <c r="AO609" s="4"/>
      <c r="AP609" s="4"/>
      <c r="AQ609" s="57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57"/>
      <c r="BC609" s="4"/>
      <c r="BD609" s="4"/>
      <c r="BE609" s="4"/>
      <c r="BF609" s="4"/>
      <c r="BG609" s="4"/>
      <c r="BH609" s="4"/>
      <c r="BI609" s="4"/>
    </row>
    <row r="610" spans="9:61" s="2" customFormat="1" x14ac:dyDescent="0.3">
      <c r="I610" s="3"/>
      <c r="J610" s="57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57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57"/>
      <c r="AG610" s="4"/>
      <c r="AH610" s="4"/>
      <c r="AI610" s="4"/>
      <c r="AJ610" s="4"/>
      <c r="AK610" s="4"/>
      <c r="AL610" s="4"/>
      <c r="AM610" s="4"/>
      <c r="AN610" s="4"/>
      <c r="AO610" s="4"/>
      <c r="AP610" s="4"/>
      <c r="AQ610" s="57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57"/>
      <c r="BC610" s="4"/>
      <c r="BD610" s="4"/>
      <c r="BE610" s="4"/>
      <c r="BF610" s="4"/>
      <c r="BG610" s="4"/>
      <c r="BH610" s="4"/>
      <c r="BI610" s="4"/>
    </row>
    <row r="611" spans="9:61" s="2" customFormat="1" x14ac:dyDescent="0.3">
      <c r="I611" s="3"/>
      <c r="J611" s="57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57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57"/>
      <c r="AG611" s="4"/>
      <c r="AH611" s="4"/>
      <c r="AI611" s="4"/>
      <c r="AJ611" s="4"/>
      <c r="AK611" s="4"/>
      <c r="AL611" s="4"/>
      <c r="AM611" s="4"/>
      <c r="AN611" s="4"/>
      <c r="AO611" s="4"/>
      <c r="AP611" s="4"/>
      <c r="AQ611" s="57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57"/>
      <c r="BC611" s="4"/>
      <c r="BD611" s="4"/>
      <c r="BE611" s="4"/>
      <c r="BF611" s="4"/>
      <c r="BG611" s="4"/>
      <c r="BH611" s="4"/>
      <c r="BI611" s="4"/>
    </row>
    <row r="612" spans="9:61" s="2" customFormat="1" x14ac:dyDescent="0.3">
      <c r="I612" s="3"/>
      <c r="J612" s="57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57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57"/>
      <c r="AG612" s="4"/>
      <c r="AH612" s="4"/>
      <c r="AI612" s="4"/>
      <c r="AJ612" s="4"/>
      <c r="AK612" s="4"/>
      <c r="AL612" s="4"/>
      <c r="AM612" s="4"/>
      <c r="AN612" s="4"/>
      <c r="AO612" s="4"/>
      <c r="AP612" s="4"/>
      <c r="AQ612" s="57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57"/>
      <c r="BC612" s="4"/>
      <c r="BD612" s="4"/>
      <c r="BE612" s="4"/>
      <c r="BF612" s="4"/>
      <c r="BG612" s="4"/>
      <c r="BH612" s="4"/>
      <c r="BI612" s="4"/>
    </row>
    <row r="613" spans="9:61" s="2" customFormat="1" x14ac:dyDescent="0.3">
      <c r="I613" s="3"/>
      <c r="J613" s="57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57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57"/>
      <c r="AG613" s="4"/>
      <c r="AH613" s="4"/>
      <c r="AI613" s="4"/>
      <c r="AJ613" s="4"/>
      <c r="AK613" s="4"/>
      <c r="AL613" s="4"/>
      <c r="AM613" s="4"/>
      <c r="AN613" s="4"/>
      <c r="AO613" s="4"/>
      <c r="AP613" s="4"/>
      <c r="AQ613" s="57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57"/>
      <c r="BC613" s="4"/>
      <c r="BD613" s="4"/>
      <c r="BE613" s="4"/>
      <c r="BF613" s="4"/>
      <c r="BG613" s="4"/>
      <c r="BH613" s="4"/>
      <c r="BI613" s="4"/>
    </row>
    <row r="614" spans="9:61" s="2" customFormat="1" x14ac:dyDescent="0.3">
      <c r="I614" s="3"/>
      <c r="J614" s="57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57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57"/>
      <c r="AG614" s="4"/>
      <c r="AH614" s="4"/>
      <c r="AI614" s="4"/>
      <c r="AJ614" s="4"/>
      <c r="AK614" s="4"/>
      <c r="AL614" s="4"/>
      <c r="AM614" s="4"/>
      <c r="AN614" s="4"/>
      <c r="AO614" s="4"/>
      <c r="AP614" s="4"/>
      <c r="AQ614" s="57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57"/>
      <c r="BC614" s="4"/>
      <c r="BD614" s="4"/>
      <c r="BE614" s="4"/>
      <c r="BF614" s="4"/>
      <c r="BG614" s="4"/>
      <c r="BH614" s="4"/>
      <c r="BI614" s="4"/>
    </row>
    <row r="615" spans="9:61" s="2" customFormat="1" x14ac:dyDescent="0.3">
      <c r="I615" s="3"/>
      <c r="J615" s="57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57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57"/>
      <c r="AG615" s="4"/>
      <c r="AH615" s="4"/>
      <c r="AI615" s="4"/>
      <c r="AJ615" s="4"/>
      <c r="AK615" s="4"/>
      <c r="AL615" s="4"/>
      <c r="AM615" s="4"/>
      <c r="AN615" s="4"/>
      <c r="AO615" s="4"/>
      <c r="AP615" s="4"/>
      <c r="AQ615" s="57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57"/>
      <c r="BC615" s="4"/>
      <c r="BD615" s="4"/>
      <c r="BE615" s="4"/>
      <c r="BF615" s="4"/>
      <c r="BG615" s="4"/>
      <c r="BH615" s="4"/>
      <c r="BI615" s="4"/>
    </row>
    <row r="616" spans="9:61" s="2" customFormat="1" x14ac:dyDescent="0.3">
      <c r="I616" s="3"/>
      <c r="J616" s="57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57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57"/>
      <c r="AG616" s="4"/>
      <c r="AH616" s="4"/>
      <c r="AI616" s="4"/>
      <c r="AJ616" s="4"/>
      <c r="AK616" s="4"/>
      <c r="AL616" s="4"/>
      <c r="AM616" s="4"/>
      <c r="AN616" s="4"/>
      <c r="AO616" s="4"/>
      <c r="AP616" s="4"/>
      <c r="AQ616" s="57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57"/>
      <c r="BC616" s="4"/>
      <c r="BD616" s="4"/>
      <c r="BE616" s="4"/>
      <c r="BF616" s="4"/>
      <c r="BG616" s="4"/>
      <c r="BH616" s="4"/>
      <c r="BI616" s="4"/>
    </row>
    <row r="617" spans="9:61" s="2" customFormat="1" x14ac:dyDescent="0.3">
      <c r="I617" s="3"/>
      <c r="J617" s="57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57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57"/>
      <c r="AG617" s="4"/>
      <c r="AH617" s="4"/>
      <c r="AI617" s="4"/>
      <c r="AJ617" s="4"/>
      <c r="AK617" s="4"/>
      <c r="AL617" s="4"/>
      <c r="AM617" s="4"/>
      <c r="AN617" s="4"/>
      <c r="AO617" s="4"/>
      <c r="AP617" s="4"/>
      <c r="AQ617" s="57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57"/>
      <c r="BC617" s="4"/>
      <c r="BD617" s="4"/>
      <c r="BE617" s="4"/>
      <c r="BF617" s="4"/>
      <c r="BG617" s="4"/>
      <c r="BH617" s="4"/>
      <c r="BI617" s="4"/>
    </row>
    <row r="618" spans="9:61" s="2" customFormat="1" x14ac:dyDescent="0.3">
      <c r="I618" s="3"/>
      <c r="J618" s="57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57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57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57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57"/>
      <c r="BC618" s="4"/>
      <c r="BD618" s="4"/>
      <c r="BE618" s="4"/>
      <c r="BF618" s="4"/>
      <c r="BG618" s="4"/>
      <c r="BH618" s="4"/>
      <c r="BI618" s="4"/>
    </row>
    <row r="619" spans="9:61" s="2" customFormat="1" x14ac:dyDescent="0.3">
      <c r="I619" s="3"/>
      <c r="J619" s="57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57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57"/>
      <c r="AG619" s="4"/>
      <c r="AH619" s="4"/>
      <c r="AI619" s="4"/>
      <c r="AJ619" s="4"/>
      <c r="AK619" s="4"/>
      <c r="AL619" s="4"/>
      <c r="AM619" s="4"/>
      <c r="AN619" s="4"/>
      <c r="AO619" s="4"/>
      <c r="AP619" s="4"/>
      <c r="AQ619" s="57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57"/>
      <c r="BC619" s="4"/>
      <c r="BD619" s="4"/>
      <c r="BE619" s="4"/>
      <c r="BF619" s="4"/>
      <c r="BG619" s="4"/>
      <c r="BH619" s="4"/>
      <c r="BI619" s="4"/>
    </row>
    <row r="620" spans="9:61" s="2" customFormat="1" x14ac:dyDescent="0.3">
      <c r="I620" s="3"/>
      <c r="J620" s="57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57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57"/>
      <c r="AG620" s="4"/>
      <c r="AH620" s="4"/>
      <c r="AI620" s="4"/>
      <c r="AJ620" s="4"/>
      <c r="AK620" s="4"/>
      <c r="AL620" s="4"/>
      <c r="AM620" s="4"/>
      <c r="AN620" s="4"/>
      <c r="AO620" s="4"/>
      <c r="AP620" s="4"/>
      <c r="AQ620" s="57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57"/>
      <c r="BC620" s="4"/>
      <c r="BD620" s="4"/>
      <c r="BE620" s="4"/>
      <c r="BF620" s="4"/>
      <c r="BG620" s="4"/>
      <c r="BH620" s="4"/>
      <c r="BI620" s="4"/>
    </row>
    <row r="621" spans="9:61" s="2" customFormat="1" x14ac:dyDescent="0.3">
      <c r="I621" s="3"/>
      <c r="J621" s="57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57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57"/>
      <c r="AG621" s="4"/>
      <c r="AH621" s="4"/>
      <c r="AI621" s="4"/>
      <c r="AJ621" s="4"/>
      <c r="AK621" s="4"/>
      <c r="AL621" s="4"/>
      <c r="AM621" s="4"/>
      <c r="AN621" s="4"/>
      <c r="AO621" s="4"/>
      <c r="AP621" s="4"/>
      <c r="AQ621" s="57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57"/>
      <c r="BC621" s="4"/>
      <c r="BD621" s="4"/>
      <c r="BE621" s="4"/>
      <c r="BF621" s="4"/>
      <c r="BG621" s="4"/>
      <c r="BH621" s="4"/>
      <c r="BI621" s="4"/>
    </row>
    <row r="622" spans="9:61" s="2" customFormat="1" x14ac:dyDescent="0.3">
      <c r="I622" s="3"/>
      <c r="J622" s="57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57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57"/>
      <c r="AG622" s="4"/>
      <c r="AH622" s="4"/>
      <c r="AI622" s="4"/>
      <c r="AJ622" s="4"/>
      <c r="AK622" s="4"/>
      <c r="AL622" s="4"/>
      <c r="AM622" s="4"/>
      <c r="AN622" s="4"/>
      <c r="AO622" s="4"/>
      <c r="AP622" s="4"/>
      <c r="AQ622" s="57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57"/>
      <c r="BC622" s="4"/>
      <c r="BD622" s="4"/>
      <c r="BE622" s="4"/>
      <c r="BF622" s="4"/>
      <c r="BG622" s="4"/>
      <c r="BH622" s="4"/>
      <c r="BI622" s="4"/>
    </row>
    <row r="623" spans="9:61" s="2" customFormat="1" x14ac:dyDescent="0.3">
      <c r="I623" s="3"/>
      <c r="J623" s="57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57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57"/>
      <c r="AG623" s="4"/>
      <c r="AH623" s="4"/>
      <c r="AI623" s="4"/>
      <c r="AJ623" s="4"/>
      <c r="AK623" s="4"/>
      <c r="AL623" s="4"/>
      <c r="AM623" s="4"/>
      <c r="AN623" s="4"/>
      <c r="AO623" s="4"/>
      <c r="AP623" s="4"/>
      <c r="AQ623" s="57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57"/>
      <c r="BC623" s="4"/>
      <c r="BD623" s="4"/>
      <c r="BE623" s="4"/>
      <c r="BF623" s="4"/>
      <c r="BG623" s="4"/>
      <c r="BH623" s="4"/>
      <c r="BI623" s="4"/>
    </row>
    <row r="624" spans="9:61" s="2" customFormat="1" x14ac:dyDescent="0.3">
      <c r="I624" s="3"/>
      <c r="J624" s="57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57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57"/>
      <c r="AG624" s="4"/>
      <c r="AH624" s="4"/>
      <c r="AI624" s="4"/>
      <c r="AJ624" s="4"/>
      <c r="AK624" s="4"/>
      <c r="AL624" s="4"/>
      <c r="AM624" s="4"/>
      <c r="AN624" s="4"/>
      <c r="AO624" s="4"/>
      <c r="AP624" s="4"/>
      <c r="AQ624" s="57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57"/>
      <c r="BC624" s="4"/>
      <c r="BD624" s="4"/>
      <c r="BE624" s="4"/>
      <c r="BF624" s="4"/>
      <c r="BG624" s="4"/>
      <c r="BH624" s="4"/>
      <c r="BI624" s="4"/>
    </row>
    <row r="625" spans="5:61" s="2" customFormat="1" x14ac:dyDescent="0.3">
      <c r="I625" s="3"/>
      <c r="J625" s="57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57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57"/>
      <c r="AG625" s="4"/>
      <c r="AH625" s="4"/>
      <c r="AI625" s="4"/>
      <c r="AJ625" s="4"/>
      <c r="AK625" s="4"/>
      <c r="AL625" s="4"/>
      <c r="AM625" s="4"/>
      <c r="AN625" s="4"/>
      <c r="AO625" s="4"/>
      <c r="AP625" s="4"/>
      <c r="AQ625" s="57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57"/>
      <c r="BC625" s="4"/>
      <c r="BD625" s="4"/>
      <c r="BE625" s="4"/>
      <c r="BF625" s="4"/>
      <c r="BG625" s="4"/>
      <c r="BH625" s="4"/>
      <c r="BI625" s="4"/>
    </row>
    <row r="626" spans="5:61" s="2" customFormat="1" x14ac:dyDescent="0.3">
      <c r="I626" s="3"/>
      <c r="J626" s="57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57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57"/>
      <c r="AG626" s="4"/>
      <c r="AH626" s="4"/>
      <c r="AI626" s="4"/>
      <c r="AJ626" s="4"/>
      <c r="AK626" s="4"/>
      <c r="AL626" s="4"/>
      <c r="AM626" s="4"/>
      <c r="AN626" s="4"/>
      <c r="AO626" s="4"/>
      <c r="AP626" s="4"/>
      <c r="AQ626" s="57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57"/>
      <c r="BC626" s="4"/>
      <c r="BD626" s="4"/>
      <c r="BE626" s="4"/>
      <c r="BF626" s="4"/>
      <c r="BG626" s="4"/>
      <c r="BH626" s="4"/>
      <c r="BI626" s="4"/>
    </row>
    <row r="627" spans="5:61" s="2" customFormat="1" x14ac:dyDescent="0.3">
      <c r="I627" s="3"/>
      <c r="J627" s="57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57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57"/>
      <c r="AG627" s="4"/>
      <c r="AH627" s="4"/>
      <c r="AI627" s="4"/>
      <c r="AJ627" s="4"/>
      <c r="AK627" s="4"/>
      <c r="AL627" s="4"/>
      <c r="AM627" s="4"/>
      <c r="AN627" s="4"/>
      <c r="AO627" s="4"/>
      <c r="AP627" s="4"/>
      <c r="AQ627" s="57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57"/>
      <c r="BC627" s="4"/>
      <c r="BD627" s="4"/>
      <c r="BE627" s="4"/>
      <c r="BF627" s="4"/>
      <c r="BG627" s="4"/>
      <c r="BH627" s="4"/>
      <c r="BI627" s="4"/>
    </row>
    <row r="628" spans="5:61" s="2" customFormat="1" x14ac:dyDescent="0.3">
      <c r="I628" s="3"/>
      <c r="J628" s="57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57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57"/>
      <c r="AG628" s="4"/>
      <c r="AH628" s="4"/>
      <c r="AI628" s="4"/>
      <c r="AJ628" s="4"/>
      <c r="AK628" s="4"/>
      <c r="AL628" s="4"/>
      <c r="AM628" s="4"/>
      <c r="AN628" s="4"/>
      <c r="AO628" s="4"/>
      <c r="AP628" s="4"/>
      <c r="AQ628" s="57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57"/>
      <c r="BC628" s="4"/>
      <c r="BD628" s="4"/>
      <c r="BE628" s="4"/>
      <c r="BF628" s="4"/>
      <c r="BG628" s="4"/>
      <c r="BH628" s="4"/>
      <c r="BI628" s="4"/>
    </row>
    <row r="629" spans="5:61" s="2" customFormat="1" x14ac:dyDescent="0.3">
      <c r="E629" s="3"/>
      <c r="F629"/>
      <c r="G629" s="3"/>
      <c r="H629"/>
      <c r="I629" s="3"/>
      <c r="J629" s="57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57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57"/>
      <c r="AG629" s="4"/>
      <c r="AH629" s="4"/>
      <c r="AI629" s="4"/>
      <c r="AJ629" s="4"/>
      <c r="AK629" s="4"/>
      <c r="AL629" s="4"/>
      <c r="AM629" s="4"/>
      <c r="AN629" s="4"/>
      <c r="AO629" s="4"/>
      <c r="AP629" s="4"/>
      <c r="AQ629" s="57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57"/>
      <c r="BC629" s="4"/>
      <c r="BD629" s="4"/>
      <c r="BE629" s="4"/>
      <c r="BF629" s="4"/>
      <c r="BG629" s="4"/>
      <c r="BH629" s="4"/>
      <c r="BI629" s="4"/>
    </row>
    <row r="630" spans="5:61" s="2" customFormat="1" x14ac:dyDescent="0.3">
      <c r="E630" s="3"/>
      <c r="F630"/>
      <c r="G630" s="3"/>
      <c r="H630"/>
      <c r="I630" s="3"/>
      <c r="J630" s="57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57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57"/>
      <c r="AG630" s="4"/>
      <c r="AH630" s="4"/>
      <c r="AI630" s="4"/>
      <c r="AJ630" s="4"/>
      <c r="AK630" s="4"/>
      <c r="AL630" s="4"/>
      <c r="AM630" s="4"/>
      <c r="AN630" s="4"/>
      <c r="AO630" s="4"/>
      <c r="AP630" s="4"/>
      <c r="AQ630" s="57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57"/>
      <c r="BC630" s="4"/>
      <c r="BD630" s="4"/>
      <c r="BE630" s="4"/>
      <c r="BF630" s="4"/>
      <c r="BG630" s="4"/>
      <c r="BH630" s="4"/>
      <c r="BI630" s="4"/>
    </row>
    <row r="631" spans="5:61" s="2" customFormat="1" x14ac:dyDescent="0.3">
      <c r="E631" s="3"/>
      <c r="F631"/>
      <c r="G631" s="3"/>
      <c r="H631"/>
      <c r="I631" s="3"/>
      <c r="J631" s="57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57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57"/>
      <c r="AG631" s="4"/>
      <c r="AH631" s="4"/>
      <c r="AI631" s="4"/>
      <c r="AJ631" s="4"/>
      <c r="AK631" s="4"/>
      <c r="AL631" s="4"/>
      <c r="AM631" s="4"/>
      <c r="AN631" s="4"/>
      <c r="AO631" s="4"/>
      <c r="AP631" s="4"/>
      <c r="AQ631" s="57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57"/>
      <c r="BC631" s="4"/>
      <c r="BD631" s="4"/>
      <c r="BE631" s="4"/>
      <c r="BF631" s="4"/>
      <c r="BG631" s="4"/>
      <c r="BH631" s="4"/>
      <c r="BI631" s="4"/>
    </row>
    <row r="632" spans="5:61" s="2" customFormat="1" x14ac:dyDescent="0.3">
      <c r="E632" s="3"/>
      <c r="F632"/>
      <c r="G632" s="3"/>
      <c r="H632"/>
      <c r="I632" s="3"/>
      <c r="J632" s="57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57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57"/>
      <c r="AG632" s="4"/>
      <c r="AH632" s="4"/>
      <c r="AI632" s="4"/>
      <c r="AJ632" s="4"/>
      <c r="AK632" s="4"/>
      <c r="AL632" s="4"/>
      <c r="AM632" s="4"/>
      <c r="AN632" s="4"/>
      <c r="AO632" s="4"/>
      <c r="AP632" s="4"/>
      <c r="AQ632" s="57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57"/>
      <c r="BC632" s="4"/>
      <c r="BD632" s="4"/>
      <c r="BE632" s="4"/>
      <c r="BF632" s="4"/>
      <c r="BG632" s="4"/>
      <c r="BH632" s="4"/>
      <c r="BI632" s="4"/>
    </row>
    <row r="633" spans="5:61" s="2" customFormat="1" x14ac:dyDescent="0.3">
      <c r="E633" s="3"/>
      <c r="F633"/>
      <c r="G633" s="3"/>
      <c r="H633"/>
      <c r="I633" s="3"/>
      <c r="J633" s="57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5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57"/>
      <c r="AG633" s="4"/>
      <c r="AH633" s="4"/>
      <c r="AI633" s="4"/>
      <c r="AJ633" s="4"/>
      <c r="AK633" s="4"/>
      <c r="AL633" s="4"/>
      <c r="AM633" s="4"/>
      <c r="AN633" s="4"/>
      <c r="AO633" s="4"/>
      <c r="AP633" s="4"/>
      <c r="AQ633" s="57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57"/>
      <c r="BC633" s="4"/>
      <c r="BD633" s="4"/>
      <c r="BE633" s="4"/>
      <c r="BF633" s="4"/>
      <c r="BG633" s="4"/>
      <c r="BH633" s="4"/>
      <c r="BI633" s="4"/>
    </row>
    <row r="634" spans="5:61" s="2" customFormat="1" x14ac:dyDescent="0.3">
      <c r="E634" s="3"/>
      <c r="F634"/>
      <c r="G634" s="3"/>
      <c r="H634"/>
      <c r="I634" s="3"/>
      <c r="J634" s="57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57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57"/>
      <c r="AG634" s="4"/>
      <c r="AH634" s="4"/>
      <c r="AI634" s="4"/>
      <c r="AJ634" s="4"/>
      <c r="AK634" s="4"/>
      <c r="AL634" s="4"/>
      <c r="AM634" s="4"/>
      <c r="AN634" s="4"/>
      <c r="AO634" s="4"/>
      <c r="AP634" s="4"/>
      <c r="AQ634" s="57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57"/>
      <c r="BC634" s="4"/>
      <c r="BD634" s="4"/>
      <c r="BE634" s="4"/>
      <c r="BF634" s="4"/>
      <c r="BG634" s="4"/>
      <c r="BH634" s="4"/>
      <c r="BI634" s="4"/>
    </row>
    <row r="635" spans="5:61" s="2" customFormat="1" x14ac:dyDescent="0.3">
      <c r="E635" s="3"/>
      <c r="F635"/>
      <c r="G635" s="3"/>
      <c r="H635"/>
      <c r="I635" s="3"/>
      <c r="J635" s="57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57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57"/>
      <c r="AG635" s="4"/>
      <c r="AH635" s="4"/>
      <c r="AI635" s="4"/>
      <c r="AJ635" s="4"/>
      <c r="AK635" s="4"/>
      <c r="AL635" s="4"/>
      <c r="AM635" s="4"/>
      <c r="AN635" s="4"/>
      <c r="AO635" s="4"/>
      <c r="AP635" s="4"/>
      <c r="AQ635" s="57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57"/>
      <c r="BC635" s="4"/>
      <c r="BD635" s="4"/>
      <c r="BE635" s="4"/>
      <c r="BF635" s="4"/>
      <c r="BG635" s="4"/>
      <c r="BH635" s="4"/>
      <c r="BI635" s="4"/>
    </row>
    <row r="636" spans="5:61" s="2" customFormat="1" x14ac:dyDescent="0.3">
      <c r="E636" s="3"/>
      <c r="F636"/>
      <c r="G636" s="3"/>
      <c r="H636"/>
      <c r="I636" s="3"/>
      <c r="J636" s="57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57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57"/>
      <c r="AG636" s="4"/>
      <c r="AH636" s="4"/>
      <c r="AI636" s="4"/>
      <c r="AJ636" s="4"/>
      <c r="AK636" s="4"/>
      <c r="AL636" s="4"/>
      <c r="AM636" s="4"/>
      <c r="AN636" s="4"/>
      <c r="AO636" s="4"/>
      <c r="AP636" s="4"/>
      <c r="AQ636" s="57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57"/>
      <c r="BC636" s="4"/>
      <c r="BD636" s="4"/>
      <c r="BE636" s="4"/>
      <c r="BF636" s="4"/>
      <c r="BG636" s="4"/>
      <c r="BH636" s="4"/>
      <c r="BI636" s="4"/>
    </row>
    <row r="637" spans="5:61" s="2" customFormat="1" x14ac:dyDescent="0.3">
      <c r="E637" s="3"/>
      <c r="F637"/>
      <c r="G637" s="3"/>
      <c r="H637"/>
      <c r="I637" s="3"/>
      <c r="J637" s="57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57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57"/>
      <c r="AG637" s="4"/>
      <c r="AH637" s="4"/>
      <c r="AI637" s="4"/>
      <c r="AJ637" s="4"/>
      <c r="AK637" s="4"/>
      <c r="AL637" s="4"/>
      <c r="AM637" s="4"/>
      <c r="AN637" s="4"/>
      <c r="AO637" s="4"/>
      <c r="AP637" s="4"/>
      <c r="AQ637" s="57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57"/>
      <c r="BC637" s="4"/>
      <c r="BD637" s="4"/>
      <c r="BE637" s="4"/>
      <c r="BF637" s="4"/>
      <c r="BG637" s="4"/>
      <c r="BH637" s="4"/>
      <c r="BI637" s="4"/>
    </row>
    <row r="638" spans="5:61" s="2" customFormat="1" x14ac:dyDescent="0.3">
      <c r="E638" s="3"/>
      <c r="F638"/>
      <c r="G638" s="3"/>
      <c r="H638"/>
      <c r="I638" s="3"/>
      <c r="J638" s="57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57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57"/>
      <c r="AG638" s="4"/>
      <c r="AH638" s="4"/>
      <c r="AI638" s="4"/>
      <c r="AJ638" s="4"/>
      <c r="AK638" s="4"/>
      <c r="AL638" s="4"/>
      <c r="AM638" s="4"/>
      <c r="AN638" s="4"/>
      <c r="AO638" s="4"/>
      <c r="AP638" s="4"/>
      <c r="AQ638" s="57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57"/>
      <c r="BC638" s="4"/>
      <c r="BD638" s="4"/>
      <c r="BE638" s="4"/>
      <c r="BF638" s="4"/>
      <c r="BG638" s="4"/>
      <c r="BH638" s="4"/>
      <c r="BI638" s="4"/>
    </row>
    <row r="639" spans="5:61" s="2" customFormat="1" x14ac:dyDescent="0.3">
      <c r="E639" s="3"/>
      <c r="F639"/>
      <c r="G639" s="3"/>
      <c r="H639"/>
      <c r="I639" s="3"/>
      <c r="J639" s="57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57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57"/>
      <c r="AG639" s="4"/>
      <c r="AH639" s="4"/>
      <c r="AI639" s="4"/>
      <c r="AJ639" s="4"/>
      <c r="AK639" s="4"/>
      <c r="AL639" s="4"/>
      <c r="AM639" s="4"/>
      <c r="AN639" s="4"/>
      <c r="AO639" s="4"/>
      <c r="AP639" s="4"/>
      <c r="AQ639" s="57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57"/>
      <c r="BC639" s="4"/>
      <c r="BD639" s="4"/>
      <c r="BE639" s="4"/>
      <c r="BF639" s="4"/>
      <c r="BG639" s="4"/>
      <c r="BH639" s="4"/>
      <c r="BI639" s="4"/>
    </row>
    <row r="640" spans="5:61" s="2" customFormat="1" x14ac:dyDescent="0.3">
      <c r="E640" s="3"/>
      <c r="F640"/>
      <c r="G640" s="3"/>
      <c r="H640"/>
      <c r="I640" s="3"/>
      <c r="J640" s="57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57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57"/>
      <c r="AG640" s="4"/>
      <c r="AH640" s="4"/>
      <c r="AI640" s="4"/>
      <c r="AJ640" s="4"/>
      <c r="AK640" s="4"/>
      <c r="AL640" s="4"/>
      <c r="AM640" s="4"/>
      <c r="AN640" s="4"/>
      <c r="AO640" s="4"/>
      <c r="AP640" s="4"/>
      <c r="AQ640" s="57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57"/>
      <c r="BC640" s="4"/>
      <c r="BD640" s="4"/>
      <c r="BE640" s="4"/>
      <c r="BF640" s="4"/>
      <c r="BG640" s="4"/>
      <c r="BH640" s="4"/>
      <c r="BI640" s="4"/>
    </row>
  </sheetData>
  <sortState ref="Q20:R29">
    <sortCondition descending="1" ref="R20"/>
  </sortState>
  <mergeCells count="320">
    <mergeCell ref="B59:C59"/>
    <mergeCell ref="D59:E59"/>
    <mergeCell ref="F59:G59"/>
    <mergeCell ref="H59:I59"/>
    <mergeCell ref="B75:C75"/>
    <mergeCell ref="D75:E75"/>
    <mergeCell ref="F75:G75"/>
    <mergeCell ref="H75:I75"/>
    <mergeCell ref="B139:C139"/>
    <mergeCell ref="D139:E139"/>
    <mergeCell ref="F139:G139"/>
    <mergeCell ref="H139:I139"/>
    <mergeCell ref="B123:C123"/>
    <mergeCell ref="D123:E123"/>
    <mergeCell ref="F123:G123"/>
    <mergeCell ref="H123:I123"/>
    <mergeCell ref="B91:C91"/>
    <mergeCell ref="D91:E91"/>
    <mergeCell ref="F91:G91"/>
    <mergeCell ref="H91:I91"/>
    <mergeCell ref="B107:C107"/>
    <mergeCell ref="D107:E107"/>
    <mergeCell ref="F107:G107"/>
    <mergeCell ref="H107:I107"/>
    <mergeCell ref="F203:G203"/>
    <mergeCell ref="H203:I203"/>
    <mergeCell ref="B155:C155"/>
    <mergeCell ref="D155:E155"/>
    <mergeCell ref="F155:G155"/>
    <mergeCell ref="H155:I155"/>
    <mergeCell ref="B171:C171"/>
    <mergeCell ref="D171:E171"/>
    <mergeCell ref="F171:G171"/>
    <mergeCell ref="H171:I171"/>
    <mergeCell ref="B299:C299"/>
    <mergeCell ref="D299:E299"/>
    <mergeCell ref="F299:G299"/>
    <mergeCell ref="H299:I299"/>
    <mergeCell ref="B251:C251"/>
    <mergeCell ref="D251:E251"/>
    <mergeCell ref="F251:G251"/>
    <mergeCell ref="H251:I251"/>
    <mergeCell ref="B267:C267"/>
    <mergeCell ref="D267:E267"/>
    <mergeCell ref="F267:G267"/>
    <mergeCell ref="H267:I267"/>
    <mergeCell ref="AD59:AE59"/>
    <mergeCell ref="AI59:AJ59"/>
    <mergeCell ref="M59:N59"/>
    <mergeCell ref="O59:P59"/>
    <mergeCell ref="Q59:R59"/>
    <mergeCell ref="S59:T59"/>
    <mergeCell ref="B283:C283"/>
    <mergeCell ref="D283:E283"/>
    <mergeCell ref="F283:G283"/>
    <mergeCell ref="H283:I283"/>
    <mergeCell ref="B219:C219"/>
    <mergeCell ref="D219:E219"/>
    <mergeCell ref="F219:G219"/>
    <mergeCell ref="H219:I219"/>
    <mergeCell ref="B235:C235"/>
    <mergeCell ref="D235:E235"/>
    <mergeCell ref="F235:G235"/>
    <mergeCell ref="H235:I235"/>
    <mergeCell ref="B187:C187"/>
    <mergeCell ref="D187:E187"/>
    <mergeCell ref="F187:G187"/>
    <mergeCell ref="H187:I187"/>
    <mergeCell ref="B203:C203"/>
    <mergeCell ref="D203:E203"/>
    <mergeCell ref="AX59:AY59"/>
    <mergeCell ref="AZ59:BA59"/>
    <mergeCell ref="M75:N75"/>
    <mergeCell ref="O75:P75"/>
    <mergeCell ref="Q75:R75"/>
    <mergeCell ref="S75:T75"/>
    <mergeCell ref="X75:Y75"/>
    <mergeCell ref="Z75:AA75"/>
    <mergeCell ref="AB75:AC75"/>
    <mergeCell ref="AD75:AE75"/>
    <mergeCell ref="AI75:AJ75"/>
    <mergeCell ref="AK75:AL75"/>
    <mergeCell ref="AM75:AN75"/>
    <mergeCell ref="AO75:AP75"/>
    <mergeCell ref="AT75:AU75"/>
    <mergeCell ref="AV75:AW75"/>
    <mergeCell ref="AK59:AL59"/>
    <mergeCell ref="AM59:AN59"/>
    <mergeCell ref="AO59:AP59"/>
    <mergeCell ref="AT59:AU59"/>
    <mergeCell ref="AV59:AW59"/>
    <mergeCell ref="X59:Y59"/>
    <mergeCell ref="Z59:AA59"/>
    <mergeCell ref="AB59:AC59"/>
    <mergeCell ref="AX75:AY75"/>
    <mergeCell ref="AZ75:BA75"/>
    <mergeCell ref="M91:N91"/>
    <mergeCell ref="O91:P91"/>
    <mergeCell ref="Q91:R91"/>
    <mergeCell ref="S91:T91"/>
    <mergeCell ref="X91:Y91"/>
    <mergeCell ref="Z91:AA91"/>
    <mergeCell ref="AB91:AC91"/>
    <mergeCell ref="AD91:AE91"/>
    <mergeCell ref="AI91:AJ91"/>
    <mergeCell ref="AK91:AL91"/>
    <mergeCell ref="AM91:AN91"/>
    <mergeCell ref="AO91:AP91"/>
    <mergeCell ref="AZ91:BA91"/>
    <mergeCell ref="AT91:AU91"/>
    <mergeCell ref="AV91:AW91"/>
    <mergeCell ref="AX91:AY91"/>
    <mergeCell ref="AT107:AU107"/>
    <mergeCell ref="AV107:AW107"/>
    <mergeCell ref="AX107:AY107"/>
    <mergeCell ref="Z107:AA107"/>
    <mergeCell ref="AB107:AC107"/>
    <mergeCell ref="AD107:AE107"/>
    <mergeCell ref="AI107:AJ107"/>
    <mergeCell ref="AK107:AL107"/>
    <mergeCell ref="AZ107:BA107"/>
    <mergeCell ref="AM107:AN107"/>
    <mergeCell ref="AO107:AP107"/>
    <mergeCell ref="M107:N107"/>
    <mergeCell ref="O107:P107"/>
    <mergeCell ref="Q107:R107"/>
    <mergeCell ref="S107:T107"/>
    <mergeCell ref="X107:Y107"/>
    <mergeCell ref="M123:N123"/>
    <mergeCell ref="O123:P123"/>
    <mergeCell ref="Q123:R123"/>
    <mergeCell ref="S123:T123"/>
    <mergeCell ref="X123:Y123"/>
    <mergeCell ref="Z123:AA123"/>
    <mergeCell ref="AB123:AC123"/>
    <mergeCell ref="AD123:AE123"/>
    <mergeCell ref="AI123:AJ123"/>
    <mergeCell ref="AZ123:BA123"/>
    <mergeCell ref="M139:N139"/>
    <mergeCell ref="O139:P139"/>
    <mergeCell ref="Q139:R139"/>
    <mergeCell ref="S139:T139"/>
    <mergeCell ref="X139:Y139"/>
    <mergeCell ref="Z139:AA139"/>
    <mergeCell ref="AB139:AC139"/>
    <mergeCell ref="AD139:AE139"/>
    <mergeCell ref="AI139:AJ139"/>
    <mergeCell ref="AK139:AL139"/>
    <mergeCell ref="AM139:AN139"/>
    <mergeCell ref="AO139:AP139"/>
    <mergeCell ref="AT139:AU139"/>
    <mergeCell ref="AV139:AW139"/>
    <mergeCell ref="AX139:AY139"/>
    <mergeCell ref="AK123:AL123"/>
    <mergeCell ref="AM123:AN123"/>
    <mergeCell ref="AO123:AP123"/>
    <mergeCell ref="AT123:AU123"/>
    <mergeCell ref="AV123:AW123"/>
    <mergeCell ref="AX123:AY123"/>
    <mergeCell ref="AM155:AN155"/>
    <mergeCell ref="AO155:AP155"/>
    <mergeCell ref="M171:N171"/>
    <mergeCell ref="O171:P171"/>
    <mergeCell ref="Q171:R171"/>
    <mergeCell ref="S171:T171"/>
    <mergeCell ref="X171:Y171"/>
    <mergeCell ref="Z171:AA171"/>
    <mergeCell ref="AB171:AC171"/>
    <mergeCell ref="AD171:AE171"/>
    <mergeCell ref="AI171:AJ171"/>
    <mergeCell ref="AK171:AL171"/>
    <mergeCell ref="AM171:AN171"/>
    <mergeCell ref="AO171:AP171"/>
    <mergeCell ref="Z155:AA155"/>
    <mergeCell ref="AB155:AC155"/>
    <mergeCell ref="AD155:AE155"/>
    <mergeCell ref="AI155:AJ155"/>
    <mergeCell ref="AK155:AL155"/>
    <mergeCell ref="M155:N155"/>
    <mergeCell ref="O155:P155"/>
    <mergeCell ref="Q155:R155"/>
    <mergeCell ref="S155:T155"/>
    <mergeCell ref="X155:Y155"/>
    <mergeCell ref="AM187:AN187"/>
    <mergeCell ref="AO187:AP187"/>
    <mergeCell ref="M203:N203"/>
    <mergeCell ref="O203:P203"/>
    <mergeCell ref="Q203:R203"/>
    <mergeCell ref="S203:T203"/>
    <mergeCell ref="X203:Y203"/>
    <mergeCell ref="Z203:AA203"/>
    <mergeCell ref="AB203:AC203"/>
    <mergeCell ref="AD203:AE203"/>
    <mergeCell ref="AI203:AJ203"/>
    <mergeCell ref="AK203:AL203"/>
    <mergeCell ref="AM203:AN203"/>
    <mergeCell ref="AO203:AP203"/>
    <mergeCell ref="Z187:AA187"/>
    <mergeCell ref="AB187:AC187"/>
    <mergeCell ref="AD187:AE187"/>
    <mergeCell ref="AI187:AJ187"/>
    <mergeCell ref="AK187:AL187"/>
    <mergeCell ref="M187:N187"/>
    <mergeCell ref="O187:P187"/>
    <mergeCell ref="Q187:R187"/>
    <mergeCell ref="S187:T187"/>
    <mergeCell ref="X187:Y187"/>
    <mergeCell ref="AM219:AN219"/>
    <mergeCell ref="AO219:AP219"/>
    <mergeCell ref="M235:N235"/>
    <mergeCell ref="O235:P235"/>
    <mergeCell ref="Q235:R235"/>
    <mergeCell ref="S235:T235"/>
    <mergeCell ref="X235:Y235"/>
    <mergeCell ref="Z235:AA235"/>
    <mergeCell ref="AB235:AC235"/>
    <mergeCell ref="AD235:AE235"/>
    <mergeCell ref="AI235:AJ235"/>
    <mergeCell ref="AK235:AL235"/>
    <mergeCell ref="AM235:AN235"/>
    <mergeCell ref="AO235:AP235"/>
    <mergeCell ref="Z219:AA219"/>
    <mergeCell ref="AB219:AC219"/>
    <mergeCell ref="AD219:AE219"/>
    <mergeCell ref="AI219:AJ219"/>
    <mergeCell ref="AK219:AL219"/>
    <mergeCell ref="M219:N219"/>
    <mergeCell ref="O219:P219"/>
    <mergeCell ref="Q219:R219"/>
    <mergeCell ref="AO267:AP267"/>
    <mergeCell ref="Z251:AA251"/>
    <mergeCell ref="AB251:AC251"/>
    <mergeCell ref="AD251:AE251"/>
    <mergeCell ref="AI251:AJ251"/>
    <mergeCell ref="AK251:AL251"/>
    <mergeCell ref="M251:N251"/>
    <mergeCell ref="O251:P251"/>
    <mergeCell ref="Q251:R251"/>
    <mergeCell ref="M267:N267"/>
    <mergeCell ref="O267:P267"/>
    <mergeCell ref="Q267:R267"/>
    <mergeCell ref="S267:T267"/>
    <mergeCell ref="X267:Y267"/>
    <mergeCell ref="Z267:AA267"/>
    <mergeCell ref="AB267:AC267"/>
    <mergeCell ref="AD267:AE267"/>
    <mergeCell ref="AI267:AJ267"/>
    <mergeCell ref="AK299:AL299"/>
    <mergeCell ref="AM299:AN299"/>
    <mergeCell ref="AO299:AP299"/>
    <mergeCell ref="Z283:AA283"/>
    <mergeCell ref="AB283:AC283"/>
    <mergeCell ref="AD283:AE283"/>
    <mergeCell ref="AI283:AJ283"/>
    <mergeCell ref="AK283:AL283"/>
    <mergeCell ref="M283:N283"/>
    <mergeCell ref="O283:P283"/>
    <mergeCell ref="Q283:R283"/>
    <mergeCell ref="M299:N299"/>
    <mergeCell ref="O299:P299"/>
    <mergeCell ref="Q299:R299"/>
    <mergeCell ref="S299:T299"/>
    <mergeCell ref="X299:Y299"/>
    <mergeCell ref="Z299:AA299"/>
    <mergeCell ref="AB299:AC299"/>
    <mergeCell ref="AD299:AE299"/>
    <mergeCell ref="AI299:AJ299"/>
    <mergeCell ref="S283:T283"/>
    <mergeCell ref="X283:Y283"/>
    <mergeCell ref="AT171:AU171"/>
    <mergeCell ref="AV171:AW171"/>
    <mergeCell ref="AX171:AY171"/>
    <mergeCell ref="AZ171:BA171"/>
    <mergeCell ref="AT187:AU187"/>
    <mergeCell ref="AV187:AW187"/>
    <mergeCell ref="AX187:AY187"/>
    <mergeCell ref="AZ187:BA187"/>
    <mergeCell ref="AT251:AU251"/>
    <mergeCell ref="AV251:AW251"/>
    <mergeCell ref="AX251:AY251"/>
    <mergeCell ref="AZ251:BA251"/>
    <mergeCell ref="S251:T251"/>
    <mergeCell ref="X251:Y251"/>
    <mergeCell ref="AM283:AN283"/>
    <mergeCell ref="AO283:AP283"/>
    <mergeCell ref="S219:T219"/>
    <mergeCell ref="X219:Y219"/>
    <mergeCell ref="AM251:AN251"/>
    <mergeCell ref="AO251:AP251"/>
    <mergeCell ref="AK267:AL267"/>
    <mergeCell ref="AM267:AN267"/>
    <mergeCell ref="AZ139:BA139"/>
    <mergeCell ref="AT155:AU155"/>
    <mergeCell ref="AV155:AW155"/>
    <mergeCell ref="AX155:AY155"/>
    <mergeCell ref="AZ155:BA155"/>
    <mergeCell ref="AT235:AU235"/>
    <mergeCell ref="AV235:AW235"/>
    <mergeCell ref="AX235:AY235"/>
    <mergeCell ref="AZ235:BA235"/>
    <mergeCell ref="AT203:AU203"/>
    <mergeCell ref="AV203:AW203"/>
    <mergeCell ref="AX203:AY203"/>
    <mergeCell ref="AZ203:BA203"/>
    <mergeCell ref="AT219:AU219"/>
    <mergeCell ref="AV219:AW219"/>
    <mergeCell ref="AX219:AY219"/>
    <mergeCell ref="AZ219:BA219"/>
    <mergeCell ref="AT299:AU299"/>
    <mergeCell ref="AV299:AW299"/>
    <mergeCell ref="AX299:AY299"/>
    <mergeCell ref="AZ299:BA299"/>
    <mergeCell ref="AT267:AU267"/>
    <mergeCell ref="AV267:AW267"/>
    <mergeCell ref="AX267:AY267"/>
    <mergeCell ref="AZ267:BA267"/>
    <mergeCell ref="AT283:AU283"/>
    <mergeCell ref="AV283:AW283"/>
    <mergeCell ref="AX283:AY283"/>
    <mergeCell ref="AZ283:BA28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106680</xdr:colOff>
                    <xdr:row>55</xdr:row>
                    <xdr:rowOff>38100</xdr:rowOff>
                  </from>
                  <to>
                    <xdr:col>6</xdr:col>
                    <xdr:colOff>464820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106680</xdr:colOff>
                    <xdr:row>71</xdr:row>
                    <xdr:rowOff>68580</xdr:rowOff>
                  </from>
                  <to>
                    <xdr:col>6</xdr:col>
                    <xdr:colOff>464820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106680</xdr:colOff>
                    <xdr:row>87</xdr:row>
                    <xdr:rowOff>68580</xdr:rowOff>
                  </from>
                  <to>
                    <xdr:col>6</xdr:col>
                    <xdr:colOff>464820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103</xdr:row>
                    <xdr:rowOff>7620</xdr:rowOff>
                  </from>
                  <to>
                    <xdr:col>6</xdr:col>
                    <xdr:colOff>502920</xdr:colOff>
                    <xdr:row>104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119</xdr:row>
                    <xdr:rowOff>7620</xdr:rowOff>
                  </from>
                  <to>
                    <xdr:col>6</xdr:col>
                    <xdr:colOff>502920</xdr:colOff>
                    <xdr:row>120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135</xdr:row>
                    <xdr:rowOff>7620</xdr:rowOff>
                  </from>
                  <to>
                    <xdr:col>6</xdr:col>
                    <xdr:colOff>472440</xdr:colOff>
                    <xdr:row>136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eck Box 11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151</xdr:row>
                    <xdr:rowOff>0</xdr:rowOff>
                  </from>
                  <to>
                    <xdr:col>6</xdr:col>
                    <xdr:colOff>472440</xdr:colOff>
                    <xdr:row>152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151</xdr:row>
                    <xdr:rowOff>7620</xdr:rowOff>
                  </from>
                  <to>
                    <xdr:col>6</xdr:col>
                    <xdr:colOff>472440</xdr:colOff>
                    <xdr:row>152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heck Box 13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167</xdr:row>
                    <xdr:rowOff>7620</xdr:rowOff>
                  </from>
                  <to>
                    <xdr:col>6</xdr:col>
                    <xdr:colOff>472440</xdr:colOff>
                    <xdr:row>168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Check Box 14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183</xdr:row>
                    <xdr:rowOff>0</xdr:rowOff>
                  </from>
                  <to>
                    <xdr:col>6</xdr:col>
                    <xdr:colOff>472440</xdr:colOff>
                    <xdr:row>184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heck Box 15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183</xdr:row>
                    <xdr:rowOff>0</xdr:rowOff>
                  </from>
                  <to>
                    <xdr:col>6</xdr:col>
                    <xdr:colOff>472440</xdr:colOff>
                    <xdr:row>184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Check Box 16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183</xdr:row>
                    <xdr:rowOff>7620</xdr:rowOff>
                  </from>
                  <to>
                    <xdr:col>6</xdr:col>
                    <xdr:colOff>472440</xdr:colOff>
                    <xdr:row>184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199</xdr:row>
                    <xdr:rowOff>7620</xdr:rowOff>
                  </from>
                  <to>
                    <xdr:col>6</xdr:col>
                    <xdr:colOff>472440</xdr:colOff>
                    <xdr:row>200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Check Box 18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215</xdr:row>
                    <xdr:rowOff>7620</xdr:rowOff>
                  </from>
                  <to>
                    <xdr:col>6</xdr:col>
                    <xdr:colOff>472440</xdr:colOff>
                    <xdr:row>216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Check Box 19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231</xdr:row>
                    <xdr:rowOff>7620</xdr:rowOff>
                  </from>
                  <to>
                    <xdr:col>6</xdr:col>
                    <xdr:colOff>472440</xdr:colOff>
                    <xdr:row>232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Check Box 20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247</xdr:row>
                    <xdr:rowOff>7620</xdr:rowOff>
                  </from>
                  <to>
                    <xdr:col>6</xdr:col>
                    <xdr:colOff>472440</xdr:colOff>
                    <xdr:row>248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Check Box 21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263</xdr:row>
                    <xdr:rowOff>7620</xdr:rowOff>
                  </from>
                  <to>
                    <xdr:col>6</xdr:col>
                    <xdr:colOff>472440</xdr:colOff>
                    <xdr:row>264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Check Box 22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279</xdr:row>
                    <xdr:rowOff>7620</xdr:rowOff>
                  </from>
                  <to>
                    <xdr:col>6</xdr:col>
                    <xdr:colOff>472440</xdr:colOff>
                    <xdr:row>280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Check Box 23">
              <controlPr defaultSize="0" autoFill="0" autoLine="0" autoPict="0" altText=" Achieve levelized cost of electricity (LCOE) and heat (LCOH)">
                <anchor moveWithCells="1">
                  <from>
                    <xdr:col>1</xdr:col>
                    <xdr:colOff>144780</xdr:colOff>
                    <xdr:row>295</xdr:row>
                    <xdr:rowOff>7620</xdr:rowOff>
                  </from>
                  <to>
                    <xdr:col>6</xdr:col>
                    <xdr:colOff>472440</xdr:colOff>
                    <xdr:row>296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3" name="Button 57">
              <controlPr defaultSize="0" print="0" autoFill="0" autoPict="0" macro="[0]!Macrorankcooling">
                <anchor moveWithCells="1">
                  <from>
                    <xdr:col>15</xdr:col>
                    <xdr:colOff>373380</xdr:colOff>
                    <xdr:row>12</xdr:row>
                    <xdr:rowOff>76200</xdr:rowOff>
                  </from>
                  <to>
                    <xdr:col>16</xdr:col>
                    <xdr:colOff>1242060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4" name="Check Box 31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106680</xdr:colOff>
                    <xdr:row>2</xdr:row>
                    <xdr:rowOff>76200</xdr:rowOff>
                  </from>
                  <to>
                    <xdr:col>4</xdr:col>
                    <xdr:colOff>579120</xdr:colOff>
                    <xdr:row>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Box 36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106680</xdr:colOff>
                    <xdr:row>5</xdr:row>
                    <xdr:rowOff>68580</xdr:rowOff>
                  </from>
                  <to>
                    <xdr:col>4</xdr:col>
                    <xdr:colOff>571500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6" name="Check Box 38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106680</xdr:colOff>
                    <xdr:row>8</xdr:row>
                    <xdr:rowOff>68580</xdr:rowOff>
                  </from>
                  <to>
                    <xdr:col>4</xdr:col>
                    <xdr:colOff>571500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7" name="Check Box 40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11</xdr:row>
                    <xdr:rowOff>7620</xdr:rowOff>
                  </from>
                  <to>
                    <xdr:col>4</xdr:col>
                    <xdr:colOff>609600</xdr:colOff>
                    <xdr:row>12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8" name="Check Box 42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14</xdr:row>
                    <xdr:rowOff>7620</xdr:rowOff>
                  </from>
                  <to>
                    <xdr:col>4</xdr:col>
                    <xdr:colOff>609600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9" name="Check Box 43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17</xdr:row>
                    <xdr:rowOff>7620</xdr:rowOff>
                  </from>
                  <to>
                    <xdr:col>4</xdr:col>
                    <xdr:colOff>579120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0" name="Check Box 45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20</xdr:row>
                    <xdr:rowOff>7620</xdr:rowOff>
                  </from>
                  <to>
                    <xdr:col>4</xdr:col>
                    <xdr:colOff>579120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31" name="Check Box 46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23</xdr:row>
                    <xdr:rowOff>7620</xdr:rowOff>
                  </from>
                  <to>
                    <xdr:col>4</xdr:col>
                    <xdr:colOff>579120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32" name="Check Box 47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26</xdr:row>
                    <xdr:rowOff>7620</xdr:rowOff>
                  </from>
                  <to>
                    <xdr:col>4</xdr:col>
                    <xdr:colOff>579120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33" name="Check Box 48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29</xdr:row>
                    <xdr:rowOff>7620</xdr:rowOff>
                  </from>
                  <to>
                    <xdr:col>4</xdr:col>
                    <xdr:colOff>579120</xdr:colOff>
                    <xdr:row>30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4" name="Check Box 49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32</xdr:row>
                    <xdr:rowOff>7620</xdr:rowOff>
                  </from>
                  <to>
                    <xdr:col>4</xdr:col>
                    <xdr:colOff>579120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5" name="Check Box 50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35</xdr:row>
                    <xdr:rowOff>30480</xdr:rowOff>
                  </from>
                  <to>
                    <xdr:col>4</xdr:col>
                    <xdr:colOff>579120</xdr:colOff>
                    <xdr:row>36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6" name="Check Box 53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38</xdr:row>
                    <xdr:rowOff>7620</xdr:rowOff>
                  </from>
                  <to>
                    <xdr:col>4</xdr:col>
                    <xdr:colOff>579120</xdr:colOff>
                    <xdr:row>39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7" name="Check Box 54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41</xdr:row>
                    <xdr:rowOff>7620</xdr:rowOff>
                  </from>
                  <to>
                    <xdr:col>4</xdr:col>
                    <xdr:colOff>579120</xdr:colOff>
                    <xdr:row>42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8" name="Check Box 55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44</xdr:row>
                    <xdr:rowOff>7620</xdr:rowOff>
                  </from>
                  <to>
                    <xdr:col>4</xdr:col>
                    <xdr:colOff>579120</xdr:colOff>
                    <xdr:row>45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9" name="Check Box 56">
              <controlPr defaultSize="0" autoFill="0" autoLine="0" autoPict="0" altText=" Achieve levelized cost of electricity (LCOE) and heat (LCOH)">
                <anchor moveWithCells="1">
                  <from>
                    <xdr:col>0</xdr:col>
                    <xdr:colOff>144780</xdr:colOff>
                    <xdr:row>47</xdr:row>
                    <xdr:rowOff>7620</xdr:rowOff>
                  </from>
                  <to>
                    <xdr:col>4</xdr:col>
                    <xdr:colOff>579120</xdr:colOff>
                    <xdr:row>48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RankDHW">
                <anchor moveWithCells="1" sizeWithCells="1">
                  <from>
                    <xdr:col>38</xdr:col>
                    <xdr:colOff>609600</xdr:colOff>
                    <xdr:row>329</xdr:row>
                    <xdr:rowOff>45720</xdr:rowOff>
                  </from>
                  <to>
                    <xdr:col>41</xdr:col>
                    <xdr:colOff>434340</xdr:colOff>
                    <xdr:row>334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41" name="Button 29">
              <controlPr defaultSize="0" print="0" autoFill="0" autoPict="0" macro="[0]!Macrorankheating">
                <anchor moveWithCells="1">
                  <from>
                    <xdr:col>12</xdr:col>
                    <xdr:colOff>76200</xdr:colOff>
                    <xdr:row>12</xdr:row>
                    <xdr:rowOff>106680</xdr:rowOff>
                  </from>
                  <to>
                    <xdr:col>14</xdr:col>
                    <xdr:colOff>358140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2" name="Button 58">
              <controlPr defaultSize="0" print="0" autoFill="0" autoPict="0" macro="[0]!MacrolowT">
                <anchor moveWithCells="1" sizeWithCells="1">
                  <from>
                    <xdr:col>28</xdr:col>
                    <xdr:colOff>510540</xdr:colOff>
                    <xdr:row>330</xdr:row>
                    <xdr:rowOff>7620</xdr:rowOff>
                  </from>
                  <to>
                    <xdr:col>30</xdr:col>
                    <xdr:colOff>441960</xdr:colOff>
                    <xdr:row>334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ranking</vt:lpstr>
      <vt:lpstr>Sheet2</vt:lpstr>
      <vt:lpstr>Sheet3</vt:lpstr>
    </vt:vector>
  </TitlesOfParts>
  <Company>VITO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Vingerhoets Pieter</dc:creator>
  <cp:lastModifiedBy>Vingerhoets Pieter</cp:lastModifiedBy>
  <dcterms:created xsi:type="dcterms:W3CDTF">2018-05-02T15:04:42Z</dcterms:created>
  <dcterms:modified xsi:type="dcterms:W3CDTF">2018-06-22T11:50:30Z</dcterms:modified>
</cp:coreProperties>
</file>